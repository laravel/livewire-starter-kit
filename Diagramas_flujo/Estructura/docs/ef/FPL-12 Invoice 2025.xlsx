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samblesf-my.sharepoint.com/personal/jjimenez_ensamblesformula_com/Documents/Escritorio/ENVIO/ENVIO ENSAMBLES FORMULA/"/>
    </mc:Choice>
  </mc:AlternateContent>
  <xr:revisionPtr revIDLastSave="18" documentId="14_{AF2D8F76-D026-4A8B-85EA-A06DB2CA9F61}" xr6:coauthVersionLast="47" xr6:coauthVersionMax="47" xr10:uidLastSave="{70818E66-9444-4293-A61A-A9F0AF26B163}"/>
  <bookViews>
    <workbookView xWindow="-120" yWindow="-120" windowWidth="20730" windowHeight="11040" xr2:uid="{DE595F18-9871-4AB2-9205-378F6F32C1A8}"/>
  </bookViews>
  <sheets>
    <sheet name="05-28-2025" sheetId="22" r:id="rId1"/>
    <sheet name="05-21-2025" sheetId="21" r:id="rId2"/>
    <sheet name="05-14-2025" sheetId="20" r:id="rId3"/>
    <sheet name="05-07-2025" sheetId="19" r:id="rId4"/>
    <sheet name="04-30-2025" sheetId="18" r:id="rId5"/>
    <sheet name="04-23-2025" sheetId="17" r:id="rId6"/>
    <sheet name="04-15-2025" sheetId="16" r:id="rId7"/>
    <sheet name="04-09-2025" sheetId="15" r:id="rId8"/>
    <sheet name="04-01-2025" sheetId="14" r:id="rId9"/>
    <sheet name="Solvents 03-26-2025" sheetId="13" r:id="rId10"/>
    <sheet name="03-26-2025" sheetId="12" r:id="rId11"/>
    <sheet name="03-19-2025" sheetId="11" r:id="rId12"/>
    <sheet name="03-12-2025" sheetId="10" r:id="rId13"/>
    <sheet name="03-05-2025" sheetId="9" r:id="rId14"/>
    <sheet name="02-26-2025" sheetId="8" r:id="rId15"/>
    <sheet name="02-19-2025" sheetId="7" r:id="rId16"/>
    <sheet name="02-12-2025" sheetId="6" r:id="rId17"/>
    <sheet name="02-05-2025" sheetId="5" r:id="rId18"/>
    <sheet name="01-29-2025" sheetId="4" r:id="rId19"/>
    <sheet name="01-22-2025" sheetId="3" r:id="rId20"/>
    <sheet name="01-15-2025" sheetId="2" r:id="rId21"/>
    <sheet name="01-08-2025" sheetId="1" r:id="rId22"/>
  </sheets>
  <definedNames>
    <definedName name="_xlnm._FilterDatabase" localSheetId="21" hidden="1">'01-08-2025'!$B$15:$I$26</definedName>
    <definedName name="_xlnm._FilterDatabase" localSheetId="20" hidden="1">'01-15-2025'!$B$15:$I$34</definedName>
    <definedName name="_xlnm._FilterDatabase" localSheetId="19" hidden="1">'01-22-2025'!$B$15:$I$46</definedName>
    <definedName name="_xlnm._FilterDatabase" localSheetId="18" hidden="1">'01-29-2025'!$B$15:$I$34</definedName>
    <definedName name="_xlnm._FilterDatabase" localSheetId="17" hidden="1">'02-05-2025'!$B$15:$I$40</definedName>
    <definedName name="_xlnm._FilterDatabase" localSheetId="16" hidden="1">'02-12-2025'!$B$15:$I$27</definedName>
    <definedName name="_xlnm._FilterDatabase" localSheetId="15" hidden="1">'02-19-2025'!$B$15:$I$32</definedName>
    <definedName name="_xlnm._FilterDatabase" localSheetId="14" hidden="1">'02-26-2025'!$B$15:$I$36</definedName>
    <definedName name="_xlnm._FilterDatabase" localSheetId="13" hidden="1">'03-05-2025'!$B$15:$I$27</definedName>
    <definedName name="_xlnm._FilterDatabase" localSheetId="12" hidden="1">'03-12-2025'!$B$15:$I$31</definedName>
    <definedName name="_xlnm._FilterDatabase" localSheetId="11" hidden="1">'03-19-2025'!$B$15:$I$33</definedName>
    <definedName name="_xlnm._FilterDatabase" localSheetId="10" hidden="1">'03-26-2025'!$B$15:$I$39</definedName>
    <definedName name="_xlnm._FilterDatabase" localSheetId="8" hidden="1">'04-01-2025'!$B$15:$I$38</definedName>
    <definedName name="_xlnm._FilterDatabase" localSheetId="7" hidden="1">'04-09-2025'!$B$15:$I$44</definedName>
    <definedName name="_xlnm._FilterDatabase" localSheetId="6" hidden="1">'04-15-2025'!$B$15:$I$36</definedName>
    <definedName name="_xlnm._FilterDatabase" localSheetId="5" hidden="1">'04-23-2025'!$B$15:$I$40</definedName>
    <definedName name="_xlnm._FilterDatabase" localSheetId="4" hidden="1">'04-30-2025'!$B$15:$I$43</definedName>
    <definedName name="_xlnm._FilterDatabase" localSheetId="3" hidden="1">'05-07-2025'!$B$15:$I$38</definedName>
    <definedName name="_xlnm._FilterDatabase" localSheetId="2" hidden="1">'05-14-2025'!$B$15:$I$35</definedName>
    <definedName name="_xlnm._FilterDatabase" localSheetId="1" hidden="1">'05-21-2025'!$B$15:$I$36</definedName>
    <definedName name="_xlnm._FilterDatabase" localSheetId="0" hidden="1">'05-28-2025'!$B$15:$I$30</definedName>
    <definedName name="_xlnm._FilterDatabase" localSheetId="9" hidden="1">'Solvents 03-26-2025'!$B$20:$I$24</definedName>
    <definedName name="_xlnm.Print_Area" localSheetId="21">'01-08-2025'!$A$1:$I$31</definedName>
    <definedName name="_xlnm.Print_Area" localSheetId="20">'01-15-2025'!$A$1:$I$39</definedName>
    <definedName name="_xlnm.Print_Area" localSheetId="19">'01-22-2025'!$A$1:$I$51</definedName>
    <definedName name="_xlnm.Print_Area" localSheetId="18">'01-29-2025'!$A$1:$I$39</definedName>
    <definedName name="_xlnm.Print_Area" localSheetId="17">'02-05-2025'!$A$1:$I$45</definedName>
    <definedName name="_xlnm.Print_Area" localSheetId="16">'02-12-2025'!$A$1:$I$32</definedName>
    <definedName name="_xlnm.Print_Area" localSheetId="15">'02-19-2025'!$A$1:$I$37</definedName>
    <definedName name="_xlnm.Print_Area" localSheetId="14">'02-26-2025'!$A$1:$I$41</definedName>
    <definedName name="_xlnm.Print_Area" localSheetId="13">'03-05-2025'!$A$1:$I$32</definedName>
    <definedName name="_xlnm.Print_Area" localSheetId="12">'03-12-2025'!$A$1:$I$36</definedName>
    <definedName name="_xlnm.Print_Area" localSheetId="11">'03-19-2025'!$A$1:$I$38</definedName>
    <definedName name="_xlnm.Print_Area" localSheetId="10">'03-26-2025'!$A$1:$I$44</definedName>
    <definedName name="_xlnm.Print_Area" localSheetId="8">'04-01-2025'!$A$1:$I$43</definedName>
    <definedName name="_xlnm.Print_Area" localSheetId="7">'04-09-2025'!$A$1:$I$49</definedName>
    <definedName name="_xlnm.Print_Area" localSheetId="6">'04-15-2025'!$A$1:$I$41</definedName>
    <definedName name="_xlnm.Print_Area" localSheetId="5">'04-23-2025'!$A$1:$I$45</definedName>
    <definedName name="_xlnm.Print_Area" localSheetId="4">'04-30-2025'!$A$1:$I$48</definedName>
    <definedName name="_xlnm.Print_Area" localSheetId="3">'05-07-2025'!$A$1:$I$43</definedName>
    <definedName name="_xlnm.Print_Area" localSheetId="2">'05-14-2025'!$A$1:$I$40</definedName>
    <definedName name="_xlnm.Print_Area" localSheetId="1">'05-21-2025'!$A$1:$I$41</definedName>
    <definedName name="_xlnm.Print_Area" localSheetId="0">'05-28-2025'!$A$1:$I$35</definedName>
    <definedName name="_xlnm.Print_Area" localSheetId="9">'Solvents 03-26-2025'!$A$1:$I$25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22" l="1"/>
  <c r="G35" i="22" l="1"/>
  <c r="I30" i="22"/>
  <c r="I29" i="22"/>
  <c r="I28" i="22"/>
  <c r="I27" i="22"/>
  <c r="I25" i="22"/>
  <c r="I24" i="22"/>
  <c r="I23" i="22"/>
  <c r="I22" i="22"/>
  <c r="I21" i="22"/>
  <c r="I20" i="22"/>
  <c r="I19" i="22"/>
  <c r="I18" i="22"/>
  <c r="I17" i="22"/>
  <c r="I16" i="22"/>
  <c r="I35" i="22" l="1"/>
  <c r="I33" i="21"/>
  <c r="I19" i="21"/>
  <c r="G41" i="21"/>
  <c r="I36" i="21"/>
  <c r="I35" i="21"/>
  <c r="I34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8" i="21"/>
  <c r="I17" i="21"/>
  <c r="I16" i="21"/>
  <c r="G49" i="20"/>
  <c r="G47" i="20"/>
  <c r="I41" i="21" l="1"/>
  <c r="I33" i="20"/>
  <c r="I29" i="20"/>
  <c r="I30" i="20"/>
  <c r="I31" i="20"/>
  <c r="I28" i="20"/>
  <c r="G40" i="20"/>
  <c r="I35" i="20"/>
  <c r="I34" i="20"/>
  <c r="I32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30" i="19"/>
  <c r="I17" i="19"/>
  <c r="I26" i="19"/>
  <c r="I24" i="19"/>
  <c r="I28" i="19"/>
  <c r="G43" i="19"/>
  <c r="I38" i="19"/>
  <c r="I37" i="19"/>
  <c r="I36" i="19"/>
  <c r="I35" i="19"/>
  <c r="I34" i="19"/>
  <c r="I33" i="19"/>
  <c r="I32" i="19"/>
  <c r="I31" i="19"/>
  <c r="I29" i="19"/>
  <c r="I27" i="19"/>
  <c r="I25" i="19"/>
  <c r="I23" i="19"/>
  <c r="I22" i="19"/>
  <c r="I21" i="19"/>
  <c r="I20" i="19"/>
  <c r="I19" i="19"/>
  <c r="I18" i="19"/>
  <c r="I16" i="19"/>
  <c r="I18" i="18"/>
  <c r="I17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G48" i="18"/>
  <c r="I16" i="18"/>
  <c r="I26" i="17"/>
  <c r="I24" i="17"/>
  <c r="I22" i="17"/>
  <c r="I21" i="17"/>
  <c r="I18" i="17"/>
  <c r="I38" i="17"/>
  <c r="I28" i="17"/>
  <c r="I27" i="17"/>
  <c r="I25" i="17"/>
  <c r="G45" i="17"/>
  <c r="I40" i="17"/>
  <c r="I39" i="17"/>
  <c r="I37" i="17"/>
  <c r="I36" i="17"/>
  <c r="I35" i="17"/>
  <c r="I34" i="17"/>
  <c r="I33" i="17"/>
  <c r="I32" i="17"/>
  <c r="I31" i="17"/>
  <c r="I30" i="17"/>
  <c r="I29" i="17"/>
  <c r="I23" i="17"/>
  <c r="I20" i="17"/>
  <c r="I19" i="17"/>
  <c r="I17" i="17"/>
  <c r="I16" i="17"/>
  <c r="I20" i="16"/>
  <c r="I18" i="16"/>
  <c r="I17" i="16"/>
  <c r="I26" i="16"/>
  <c r="I25" i="16"/>
  <c r="I31" i="16"/>
  <c r="I21" i="16"/>
  <c r="G41" i="16"/>
  <c r="I36" i="16"/>
  <c r="I35" i="16"/>
  <c r="I34" i="16"/>
  <c r="I33" i="16"/>
  <c r="I32" i="16"/>
  <c r="I30" i="16"/>
  <c r="I29" i="16"/>
  <c r="I28" i="16"/>
  <c r="I27" i="16"/>
  <c r="I24" i="16"/>
  <c r="I23" i="16"/>
  <c r="I22" i="16"/>
  <c r="I19" i="16"/>
  <c r="I16" i="16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0" i="20" l="1"/>
  <c r="I43" i="19"/>
  <c r="I48" i="18"/>
  <c r="I45" i="17"/>
  <c r="I41" i="16"/>
  <c r="I16" i="15"/>
  <c r="G49" i="15" l="1"/>
  <c r="I30" i="14"/>
  <c r="I24" i="14"/>
  <c r="I23" i="14"/>
  <c r="I16" i="14"/>
  <c r="I17" i="14"/>
  <c r="I49" i="15" l="1"/>
  <c r="I20" i="14"/>
  <c r="G43" i="14"/>
  <c r="I38" i="14"/>
  <c r="I37" i="14"/>
  <c r="I36" i="14"/>
  <c r="I35" i="14"/>
  <c r="I34" i="14"/>
  <c r="I33" i="14"/>
  <c r="I32" i="14"/>
  <c r="I31" i="14"/>
  <c r="I29" i="14"/>
  <c r="I28" i="14"/>
  <c r="I27" i="14"/>
  <c r="I26" i="14"/>
  <c r="I25" i="14"/>
  <c r="I22" i="14"/>
  <c r="I21" i="14"/>
  <c r="I19" i="14"/>
  <c r="I18" i="14"/>
  <c r="I22" i="12"/>
  <c r="I27" i="12"/>
  <c r="I25" i="13"/>
  <c r="H24" i="13"/>
  <c r="I24" i="13" s="1"/>
  <c r="H23" i="13"/>
  <c r="I23" i="13" s="1"/>
  <c r="H22" i="13"/>
  <c r="I22" i="13" s="1"/>
  <c r="H21" i="13"/>
  <c r="I21" i="13" s="1"/>
  <c r="I43" i="14" l="1"/>
  <c r="I20" i="12"/>
  <c r="I29" i="12"/>
  <c r="I28" i="12"/>
  <c r="I26" i="12"/>
  <c r="I25" i="12"/>
  <c r="I24" i="12"/>
  <c r="G44" i="12"/>
  <c r="I39" i="12"/>
  <c r="I38" i="12"/>
  <c r="I37" i="12"/>
  <c r="I36" i="12"/>
  <c r="I35" i="12"/>
  <c r="I34" i="12"/>
  <c r="I33" i="12"/>
  <c r="I32" i="12"/>
  <c r="I31" i="12"/>
  <c r="I30" i="12"/>
  <c r="I23" i="12"/>
  <c r="I21" i="12"/>
  <c r="I19" i="12"/>
  <c r="I18" i="12"/>
  <c r="I17" i="12"/>
  <c r="I16" i="12"/>
  <c r="I21" i="11"/>
  <c r="I31" i="11"/>
  <c r="I17" i="11"/>
  <c r="I18" i="11"/>
  <c r="I19" i="11"/>
  <c r="I20" i="11"/>
  <c r="I22" i="11"/>
  <c r="I23" i="11"/>
  <c r="I24" i="11"/>
  <c r="I25" i="11"/>
  <c r="I26" i="11"/>
  <c r="I27" i="11"/>
  <c r="I28" i="11"/>
  <c r="I29" i="11"/>
  <c r="I30" i="11"/>
  <c r="I32" i="11"/>
  <c r="I33" i="11"/>
  <c r="I44" i="12" l="1"/>
  <c r="G38" i="11"/>
  <c r="I16" i="11"/>
  <c r="I28" i="10"/>
  <c r="I38" i="11" l="1"/>
  <c r="I23" i="10"/>
  <c r="I18" i="10"/>
  <c r="I20" i="10"/>
  <c r="I21" i="10"/>
  <c r="I22" i="10"/>
  <c r="I24" i="10"/>
  <c r="G36" i="10"/>
  <c r="I31" i="10"/>
  <c r="I30" i="10"/>
  <c r="I29" i="10"/>
  <c r="I27" i="10"/>
  <c r="I26" i="10"/>
  <c r="I25" i="10"/>
  <c r="I19" i="10"/>
  <c r="I17" i="10"/>
  <c r="I16" i="10"/>
  <c r="I25" i="9"/>
  <c r="I26" i="9"/>
  <c r="I27" i="9"/>
  <c r="G32" i="9"/>
  <c r="I24" i="9"/>
  <c r="I23" i="9"/>
  <c r="I22" i="9"/>
  <c r="I21" i="9"/>
  <c r="I20" i="9"/>
  <c r="I19" i="9"/>
  <c r="I18" i="9"/>
  <c r="I17" i="9"/>
  <c r="I16" i="9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6" i="10" l="1"/>
  <c r="I32" i="9"/>
  <c r="G41" i="8"/>
  <c r="I16" i="8"/>
  <c r="I22" i="7"/>
  <c r="I23" i="7"/>
  <c r="I21" i="7"/>
  <c r="I20" i="7"/>
  <c r="I19" i="7"/>
  <c r="I18" i="7"/>
  <c r="G37" i="7"/>
  <c r="I32" i="7"/>
  <c r="I31" i="7"/>
  <c r="I30" i="7"/>
  <c r="I29" i="7"/>
  <c r="I28" i="7"/>
  <c r="I27" i="7"/>
  <c r="I26" i="7"/>
  <c r="I25" i="7"/>
  <c r="I24" i="7"/>
  <c r="I17" i="7"/>
  <c r="I16" i="7"/>
  <c r="I17" i="6"/>
  <c r="I18" i="6"/>
  <c r="I19" i="6"/>
  <c r="I20" i="6"/>
  <c r="I21" i="6"/>
  <c r="I22" i="6"/>
  <c r="I23" i="6"/>
  <c r="I24" i="6"/>
  <c r="I25" i="6"/>
  <c r="I26" i="6"/>
  <c r="I27" i="6"/>
  <c r="I16" i="6"/>
  <c r="I39" i="5"/>
  <c r="I40" i="5"/>
  <c r="G32" i="6"/>
  <c r="I32" i="5"/>
  <c r="I30" i="5"/>
  <c r="I27" i="5"/>
  <c r="I22" i="5"/>
  <c r="I17" i="5"/>
  <c r="I18" i="5"/>
  <c r="I19" i="5"/>
  <c r="I20" i="5"/>
  <c r="I21" i="5"/>
  <c r="I23" i="5"/>
  <c r="I24" i="5"/>
  <c r="I25" i="5"/>
  <c r="I26" i="5"/>
  <c r="I28" i="5"/>
  <c r="I29" i="5"/>
  <c r="I31" i="5"/>
  <c r="I33" i="5"/>
  <c r="I34" i="5"/>
  <c r="I35" i="5"/>
  <c r="I36" i="5"/>
  <c r="I37" i="5"/>
  <c r="I38" i="5"/>
  <c r="I16" i="5"/>
  <c r="I41" i="8" l="1"/>
  <c r="I37" i="7"/>
  <c r="I32" i="6"/>
  <c r="G45" i="5"/>
  <c r="I45" i="5"/>
  <c r="I29" i="4"/>
  <c r="G39" i="4"/>
  <c r="I34" i="4"/>
  <c r="I33" i="4"/>
  <c r="I32" i="4"/>
  <c r="I31" i="4"/>
  <c r="I30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16" i="3"/>
  <c r="G51" i="3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G39" i="2"/>
  <c r="I16" i="2"/>
  <c r="I25" i="1"/>
  <c r="I16" i="1"/>
  <c r="I17" i="1"/>
  <c r="I18" i="1"/>
  <c r="I19" i="1"/>
  <c r="I20" i="1"/>
  <c r="I21" i="1"/>
  <c r="I22" i="1"/>
  <c r="I23" i="1"/>
  <c r="I24" i="1"/>
  <c r="I26" i="1"/>
  <c r="G31" i="1"/>
  <c r="I39" i="4" l="1"/>
  <c r="I51" i="3"/>
  <c r="I39" i="2"/>
  <c r="I31" i="1"/>
</calcChain>
</file>

<file path=xl/sharedStrings.xml><?xml version="1.0" encoding="utf-8"?>
<sst xmlns="http://schemas.openxmlformats.org/spreadsheetml/2006/main" count="2100" uniqueCount="362">
  <si>
    <t xml:space="preserve">  </t>
  </si>
  <si>
    <t>SHIPPING COST</t>
  </si>
  <si>
    <t>Administration Fee</t>
  </si>
  <si>
    <t>Machine Maintenance</t>
  </si>
  <si>
    <t>250106X01</t>
  </si>
  <si>
    <t>189-10259</t>
  </si>
  <si>
    <t>H-ML-8-4</t>
  </si>
  <si>
    <t>189-10525</t>
  </si>
  <si>
    <t>STS E-C4-2</t>
  </si>
  <si>
    <t>189-10237</t>
  </si>
  <si>
    <t>STS H-ML-5</t>
  </si>
  <si>
    <t>189-10207</t>
  </si>
  <si>
    <t>STS H-ML-10</t>
  </si>
  <si>
    <t>189-10635</t>
  </si>
  <si>
    <t>STS H-HC-2-0-H</t>
  </si>
  <si>
    <t>250106X20</t>
  </si>
  <si>
    <t>189-10240</t>
  </si>
  <si>
    <t>STS H-ML-7</t>
  </si>
  <si>
    <t>189-10492</t>
  </si>
  <si>
    <t>STS H-CR-436-37 CRIMP</t>
  </si>
  <si>
    <t>189-10491</t>
  </si>
  <si>
    <t>STS H-CR-436-36 CRIMP</t>
  </si>
  <si>
    <t>189-10257</t>
  </si>
  <si>
    <t>STS H-ML-8</t>
  </si>
  <si>
    <t>189-10179</t>
  </si>
  <si>
    <t>STS H-M-3</t>
  </si>
  <si>
    <t>TOTAL</t>
  </si>
  <si>
    <t>UNIT COST</t>
  </si>
  <si>
    <t xml:space="preserve"> QUANTITY</t>
  </si>
  <si>
    <t>W.O No.</t>
  </si>
  <si>
    <t>P.0  No.</t>
  </si>
  <si>
    <t>LOT NO.</t>
  </si>
  <si>
    <t>Item No.</t>
  </si>
  <si>
    <t>DESCRIPTION</t>
  </si>
  <si>
    <t xml:space="preserve"> F.O.B:  Tecate, Ca.</t>
  </si>
  <si>
    <t>San Marcos, Ca. 92069</t>
  </si>
  <si>
    <t xml:space="preserve">   San Marcos, Ca. 92069</t>
  </si>
  <si>
    <t>915 Armorlite  Dr.</t>
  </si>
  <si>
    <t xml:space="preserve">    915 Armorlite  Dr.</t>
  </si>
  <si>
    <t xml:space="preserve"> </t>
  </si>
  <si>
    <t>S.E.I.P.,  Inc.</t>
  </si>
  <si>
    <t xml:space="preserve">    S.E.I.P.,  Inc.</t>
  </si>
  <si>
    <t>Packing Slip</t>
  </si>
  <si>
    <t>Shipped to:</t>
  </si>
  <si>
    <t xml:space="preserve">    Sold to:</t>
  </si>
  <si>
    <t>franknwflexcon@comcast.net</t>
  </si>
  <si>
    <t>PH# 425-466-2184</t>
  </si>
  <si>
    <t>01</t>
  </si>
  <si>
    <t>Revisión:</t>
  </si>
  <si>
    <t>FPL-12</t>
  </si>
  <si>
    <t>Clave:</t>
  </si>
  <si>
    <t>INVOICE</t>
  </si>
  <si>
    <t>FLEXCON</t>
  </si>
  <si>
    <t>189-10301</t>
  </si>
  <si>
    <t>STS L-C-7</t>
  </si>
  <si>
    <t>#001229</t>
  </si>
  <si>
    <t xml:space="preserve">  Invoice#00932</t>
  </si>
  <si>
    <t xml:space="preserve">  Invoice#00933</t>
  </si>
  <si>
    <t>#001230</t>
  </si>
  <si>
    <t>STS L-C-3</t>
  </si>
  <si>
    <t>STS H-CR-436-38 CRIMP</t>
  </si>
  <si>
    <t>STS H-MB-301N 10" LEAD</t>
  </si>
  <si>
    <t>STS H-M-1</t>
  </si>
  <si>
    <t>STS H-ML-17</t>
  </si>
  <si>
    <t>STS H-ML-12</t>
  </si>
  <si>
    <t>STS H-MB-306T</t>
  </si>
  <si>
    <t>STS H-I-3</t>
  </si>
  <si>
    <t>STS H-HML-9-95</t>
  </si>
  <si>
    <t>STS H-MB-3</t>
  </si>
  <si>
    <t>STS H-HC-2</t>
  </si>
  <si>
    <t>STS H-MB-506T</t>
  </si>
  <si>
    <t>189-10289</t>
  </si>
  <si>
    <t>189-10493</t>
  </si>
  <si>
    <t>189-10191</t>
  </si>
  <si>
    <t>189-10176</t>
  </si>
  <si>
    <t>189-10225</t>
  </si>
  <si>
    <t>189-10216</t>
  </si>
  <si>
    <t>189-10197</t>
  </si>
  <si>
    <t>189-10145</t>
  </si>
  <si>
    <t>189-10513</t>
  </si>
  <si>
    <t>189-10603</t>
  </si>
  <si>
    <t>189-10139</t>
  </si>
  <si>
    <t>189-10204</t>
  </si>
  <si>
    <t>250113x20</t>
  </si>
  <si>
    <t>250113x01</t>
  </si>
  <si>
    <t xml:space="preserve">  Invoice#00934</t>
  </si>
  <si>
    <r>
      <t xml:space="preserve"> DATE </t>
    </r>
    <r>
      <rPr>
        <b/>
        <sz val="18"/>
        <rFont val="Calibri"/>
        <family val="2"/>
      </rPr>
      <t>: Jan-22-2025</t>
    </r>
  </si>
  <si>
    <r>
      <t xml:space="preserve"> DATE </t>
    </r>
    <r>
      <rPr>
        <b/>
        <sz val="18"/>
        <rFont val="Calibri"/>
        <family val="2"/>
      </rPr>
      <t>: Jan-15-2025</t>
    </r>
  </si>
  <si>
    <t>#001231</t>
  </si>
  <si>
    <t>250120x20</t>
  </si>
  <si>
    <t>250120x01</t>
  </si>
  <si>
    <t>STS L-C-2</t>
  </si>
  <si>
    <t>STS H-C4-3</t>
  </si>
  <si>
    <t>STS H-MB-101-N 10"</t>
  </si>
  <si>
    <t>STS H-HML-8-95</t>
  </si>
  <si>
    <t>STS H-ML-15</t>
  </si>
  <si>
    <t>STS H-C4-4</t>
  </si>
  <si>
    <t>STS H-M-4</t>
  </si>
  <si>
    <t>STS H-MB-506N</t>
  </si>
  <si>
    <t>STS H-MB-406N</t>
  </si>
  <si>
    <t>STS H-HC-2-96</t>
  </si>
  <si>
    <t>STS H-ML-3</t>
  </si>
  <si>
    <t>STS H-ML-4</t>
  </si>
  <si>
    <t>189-10282</t>
  </si>
  <si>
    <t>189-10073</t>
  </si>
  <si>
    <t>189-10183</t>
  </si>
  <si>
    <t>189-10522</t>
  </si>
  <si>
    <t>189-10608</t>
  </si>
  <si>
    <t>189-10223</t>
  </si>
  <si>
    <t>189-10076</t>
  </si>
  <si>
    <t>189-10180</t>
  </si>
  <si>
    <t>189-10203</t>
  </si>
  <si>
    <t>189-10199</t>
  </si>
  <si>
    <t>189-10575</t>
  </si>
  <si>
    <t>189-10231</t>
  </si>
  <si>
    <t>189-10235</t>
  </si>
  <si>
    <t>STS H-MB-8</t>
  </si>
  <si>
    <r>
      <t xml:space="preserve"> DATE </t>
    </r>
    <r>
      <rPr>
        <b/>
        <sz val="18"/>
        <rFont val="Calibri"/>
        <family val="2"/>
      </rPr>
      <t>: Jan-06-2025</t>
    </r>
  </si>
  <si>
    <t>330 Rocky Woods Lane  • Bigfork, Montana • 59911</t>
  </si>
  <si>
    <t xml:space="preserve">  Invoice#00935</t>
  </si>
  <si>
    <r>
      <t xml:space="preserve"> DATE </t>
    </r>
    <r>
      <rPr>
        <b/>
        <sz val="18"/>
        <rFont val="Calibri"/>
        <family val="2"/>
      </rPr>
      <t>: Jan-29-2025</t>
    </r>
  </si>
  <si>
    <t>STS H-M-2</t>
  </si>
  <si>
    <t>STS H-ML-9</t>
  </si>
  <si>
    <t>STS H-ML-18</t>
  </si>
  <si>
    <t>STS H-ML-9-94</t>
  </si>
  <si>
    <t>STS H-M-2-05</t>
  </si>
  <si>
    <t>STS L-C-112-01</t>
  </si>
  <si>
    <t>STS H-ML-5-5</t>
  </si>
  <si>
    <t>H-200B-3N</t>
  </si>
  <si>
    <t>STS-0633</t>
  </si>
  <si>
    <t>189-10543</t>
  </si>
  <si>
    <t>189-10277</t>
  </si>
  <si>
    <t>189-10537</t>
  </si>
  <si>
    <t>189-10273</t>
  </si>
  <si>
    <t>189-10226</t>
  </si>
  <si>
    <t>189-10270</t>
  </si>
  <si>
    <t>189-10178</t>
  </si>
  <si>
    <t>250127x20</t>
  </si>
  <si>
    <t>270127x01</t>
  </si>
  <si>
    <t>#001232</t>
  </si>
  <si>
    <t xml:space="preserve">  Invoice#00936</t>
  </si>
  <si>
    <t>#001233</t>
  </si>
  <si>
    <r>
      <t xml:space="preserve"> DATE </t>
    </r>
    <r>
      <rPr>
        <b/>
        <sz val="18"/>
        <rFont val="Calibri"/>
        <family val="2"/>
      </rPr>
      <t>: Feb-05-2025</t>
    </r>
  </si>
  <si>
    <t>STS H-M-5</t>
  </si>
  <si>
    <t>STS L-C-4</t>
  </si>
  <si>
    <t>189-10182</t>
  </si>
  <si>
    <t>189-10292</t>
  </si>
  <si>
    <t>020325x01</t>
  </si>
  <si>
    <t>020325x20</t>
  </si>
  <si>
    <t>189-10248</t>
  </si>
  <si>
    <t>189-10258</t>
  </si>
  <si>
    <t>STS H-HCB-306N-96</t>
  </si>
  <si>
    <t>STS H-ML-7-6</t>
  </si>
  <si>
    <t>STS H-ML-7-92</t>
  </si>
  <si>
    <t>STS H-ML-7-3</t>
  </si>
  <si>
    <t>STS H-ML-7-9</t>
  </si>
  <si>
    <t>STS H-ML-8-3</t>
  </si>
  <si>
    <t>189-10243</t>
  </si>
  <si>
    <t>189-10251</t>
  </si>
  <si>
    <t>189-10246</t>
  </si>
  <si>
    <t>189-10571</t>
  </si>
  <si>
    <t xml:space="preserve">  Invoice#00937</t>
  </si>
  <si>
    <r>
      <t xml:space="preserve"> DATE </t>
    </r>
    <r>
      <rPr>
        <b/>
        <sz val="18"/>
        <rFont val="Calibri"/>
        <family val="2"/>
      </rPr>
      <t>: Feb-12-2025</t>
    </r>
  </si>
  <si>
    <t>#001234</t>
  </si>
  <si>
    <t>021025x20</t>
  </si>
  <si>
    <t>021025x01</t>
  </si>
  <si>
    <t>189-10072</t>
  </si>
  <si>
    <t>189-10142</t>
  </si>
  <si>
    <t>STS H-HC-5</t>
  </si>
  <si>
    <t>STS H-C4-2</t>
  </si>
  <si>
    <t xml:space="preserve">  Invoice#00938</t>
  </si>
  <si>
    <r>
      <t xml:space="preserve"> DATE </t>
    </r>
    <r>
      <rPr>
        <b/>
        <sz val="18"/>
        <rFont val="Calibri"/>
        <family val="2"/>
      </rPr>
      <t>: Feb-19-2025</t>
    </r>
  </si>
  <si>
    <t>#001235</t>
  </si>
  <si>
    <t>STS H-C-22</t>
  </si>
  <si>
    <t>STS H-ML-14</t>
  </si>
  <si>
    <t>STS H-ML-10-9</t>
  </si>
  <si>
    <t>STS H-CL-181-3222-0/9</t>
  </si>
  <si>
    <t>189-10011</t>
  </si>
  <si>
    <t>189-10388</t>
  </si>
  <si>
    <t>189-10222</t>
  </si>
  <si>
    <t>021725x01</t>
  </si>
  <si>
    <t>021725x20</t>
  </si>
  <si>
    <t>189-10211</t>
  </si>
  <si>
    <t xml:space="preserve">  Invoice#00939</t>
  </si>
  <si>
    <t>#001236</t>
  </si>
  <si>
    <r>
      <t xml:space="preserve"> DATE </t>
    </r>
    <r>
      <rPr>
        <b/>
        <sz val="18"/>
        <rFont val="Calibri"/>
        <family val="2"/>
      </rPr>
      <t>: Feb-26-2025</t>
    </r>
  </si>
  <si>
    <t>022425x01</t>
  </si>
  <si>
    <t>STS H-ML-16</t>
  </si>
  <si>
    <t>STS H-M-1-05</t>
  </si>
  <si>
    <t>STS H-C-1</t>
  </si>
  <si>
    <t>STS H-C-6</t>
  </si>
  <si>
    <t>STS H-ML-19</t>
  </si>
  <si>
    <t>STS H-MB-206N</t>
  </si>
  <si>
    <t>STS H-C-11</t>
  </si>
  <si>
    <t>STS H-MB-501T</t>
  </si>
  <si>
    <t>STS H-MB-306N</t>
  </si>
  <si>
    <t>022425x20</t>
  </si>
  <si>
    <t>189-10224</t>
  </si>
  <si>
    <t>189-10536</t>
  </si>
  <si>
    <t>189-10196</t>
  </si>
  <si>
    <t>189-10498</t>
  </si>
  <si>
    <t>189-10379</t>
  </si>
  <si>
    <t>189-10189</t>
  </si>
  <si>
    <t>189-10227</t>
  </si>
  <si>
    <t>189-10090</t>
  </si>
  <si>
    <t>189-10044</t>
  </si>
  <si>
    <t xml:space="preserve">  Invoice#00940</t>
  </si>
  <si>
    <t>#001237</t>
  </si>
  <si>
    <r>
      <t xml:space="preserve"> DATE </t>
    </r>
    <r>
      <rPr>
        <b/>
        <sz val="18"/>
        <rFont val="Calibri"/>
        <family val="2"/>
      </rPr>
      <t>: Mar-05-2025</t>
    </r>
  </si>
  <si>
    <t>STS H-C4-1</t>
  </si>
  <si>
    <t>189-10071</t>
  </si>
  <si>
    <t>030325x20</t>
  </si>
  <si>
    <t>030325x01</t>
  </si>
  <si>
    <t xml:space="preserve">  Invoice#00941</t>
  </si>
  <si>
    <t>#001238</t>
  </si>
  <si>
    <r>
      <t xml:space="preserve"> DATE </t>
    </r>
    <r>
      <rPr>
        <b/>
        <sz val="18"/>
        <rFont val="Calibri"/>
        <family val="2"/>
      </rPr>
      <t>: Mar-12-2025</t>
    </r>
  </si>
  <si>
    <t>STS H-CR-436-36-CRIMP</t>
  </si>
  <si>
    <t>STS H-ML-8-93-01</t>
  </si>
  <si>
    <t>STS H-C5-8</t>
  </si>
  <si>
    <t>STS H-ML-8-5</t>
  </si>
  <si>
    <t>189-10260</t>
  </si>
  <si>
    <t>189-10089</t>
  </si>
  <si>
    <t>189-10634</t>
  </si>
  <si>
    <t>031025x20</t>
  </si>
  <si>
    <t>031025x01</t>
  </si>
  <si>
    <t xml:space="preserve">  Invoice#00942</t>
  </si>
  <si>
    <r>
      <t xml:space="preserve"> DATE </t>
    </r>
    <r>
      <rPr>
        <b/>
        <sz val="18"/>
        <rFont val="Calibri"/>
        <family val="2"/>
      </rPr>
      <t>: Mar-19-2025</t>
    </r>
  </si>
  <si>
    <t>#001239</t>
  </si>
  <si>
    <t>031725x20</t>
  </si>
  <si>
    <t>031725x01</t>
  </si>
  <si>
    <t>STS H-ML-13</t>
  </si>
  <si>
    <t>STS L-C-6</t>
  </si>
  <si>
    <t>189-10218</t>
  </si>
  <si>
    <t>189-10299</t>
  </si>
  <si>
    <t xml:space="preserve">STS H-ML-8 </t>
  </si>
  <si>
    <t>189-10295</t>
  </si>
  <si>
    <t>STS L-C-5</t>
  </si>
  <si>
    <t>#001240</t>
  </si>
  <si>
    <r>
      <t xml:space="preserve"> DATE </t>
    </r>
    <r>
      <rPr>
        <b/>
        <sz val="18"/>
        <rFont val="Calibri"/>
        <family val="2"/>
      </rPr>
      <t>: Mar-26-2025</t>
    </r>
  </si>
  <si>
    <t>032425x01</t>
  </si>
  <si>
    <t>STS H-C-4</t>
  </si>
  <si>
    <t>STS H-IL-8951-12</t>
  </si>
  <si>
    <t>STS H-ML-8-6</t>
  </si>
  <si>
    <t>STSH-IL-350-A60</t>
  </si>
  <si>
    <t>189-10163</t>
  </si>
  <si>
    <t>189-10261</t>
  </si>
  <si>
    <t>189-10410</t>
  </si>
  <si>
    <t>189-10069</t>
  </si>
  <si>
    <r>
      <t xml:space="preserve">10512 19th Ave. SE  </t>
    </r>
    <r>
      <rPr>
        <sz val="12"/>
        <rFont val="Tahoma"/>
        <family val="2"/>
      </rPr>
      <t xml:space="preserve">• </t>
    </r>
    <r>
      <rPr>
        <sz val="12"/>
        <rFont val="Calibri"/>
        <family val="2"/>
      </rPr>
      <t xml:space="preserve">Suite 101  </t>
    </r>
    <r>
      <rPr>
        <sz val="12"/>
        <rFont val="Tahoma"/>
        <family val="2"/>
      </rPr>
      <t xml:space="preserve">• </t>
    </r>
    <r>
      <rPr>
        <sz val="12"/>
        <rFont val="Calibri"/>
        <family val="2"/>
      </rPr>
      <t xml:space="preserve">Everett, WA </t>
    </r>
    <r>
      <rPr>
        <sz val="12"/>
        <rFont val="Tahoma"/>
        <family val="2"/>
      </rPr>
      <t xml:space="preserve">• </t>
    </r>
    <r>
      <rPr>
        <sz val="12"/>
        <rFont val="Calibri"/>
        <family val="2"/>
      </rPr>
      <t>98208</t>
    </r>
  </si>
  <si>
    <t>FAX# 425-657-0309</t>
  </si>
  <si>
    <t>N/A</t>
  </si>
  <si>
    <t>Alcohol</t>
  </si>
  <si>
    <t>-</t>
  </si>
  <si>
    <t>n/a</t>
  </si>
  <si>
    <r>
      <t xml:space="preserve"> DATE </t>
    </r>
    <r>
      <rPr>
        <b/>
        <sz val="18"/>
        <rFont val="Calibri"/>
        <family val="2"/>
      </rPr>
      <t>: Mar-24-2025</t>
    </r>
  </si>
  <si>
    <t>Delivered 11-19-2024 (Flx-Ref. A-115878)</t>
  </si>
  <si>
    <t>Delivered 01-21-2025 (Flx-Ref. A-117109)</t>
  </si>
  <si>
    <t>Delivered 02-13-2025 (Flx-Ref. A-118310)</t>
  </si>
  <si>
    <t>Delivered 03-18-2025 (Flx-Ref. A-119344 &amp; A-119381</t>
  </si>
  <si>
    <t xml:space="preserve">  Invoice#00943</t>
  </si>
  <si>
    <t xml:space="preserve">  Invoice#000944</t>
  </si>
  <si>
    <t xml:space="preserve">  Invoice#00945</t>
  </si>
  <si>
    <r>
      <t xml:space="preserve"> DATE </t>
    </r>
    <r>
      <rPr>
        <b/>
        <sz val="18"/>
        <rFont val="Calibri"/>
        <family val="2"/>
      </rPr>
      <t>: Apr-01-2025</t>
    </r>
  </si>
  <si>
    <t>#001241</t>
  </si>
  <si>
    <t>033125x01</t>
  </si>
  <si>
    <t>033125x20</t>
  </si>
  <si>
    <t>STS H-C5-7</t>
  </si>
  <si>
    <t>STS H-MB-501N 10" LEAD</t>
  </si>
  <si>
    <t>STS H-HCL-6-96</t>
  </si>
  <si>
    <t>189-10588</t>
  </si>
  <si>
    <t>189-10201</t>
  </si>
  <si>
    <t>189-10088</t>
  </si>
  <si>
    <t>032425x20</t>
  </si>
  <si>
    <t>#001242</t>
  </si>
  <si>
    <r>
      <t xml:space="preserve"> DATE </t>
    </r>
    <r>
      <rPr>
        <b/>
        <sz val="18"/>
        <rFont val="Calibri"/>
        <family val="2"/>
      </rPr>
      <t>: Apr-09-2025</t>
    </r>
  </si>
  <si>
    <t>STS H-ML-2</t>
  </si>
  <si>
    <t>STS H-HC-3</t>
  </si>
  <si>
    <t>STS H-C5-21</t>
  </si>
  <si>
    <t>040725x20</t>
  </si>
  <si>
    <t>040725x01</t>
  </si>
  <si>
    <t>189-10084</t>
  </si>
  <si>
    <t>189-10140</t>
  </si>
  <si>
    <t>189-10228</t>
  </si>
  <si>
    <t xml:space="preserve">  Invoice#00946</t>
  </si>
  <si>
    <t xml:space="preserve">  Invoice#00947</t>
  </si>
  <si>
    <t>#001243</t>
  </si>
  <si>
    <t>STS L-C-1</t>
  </si>
  <si>
    <t>STS H-MB-206T</t>
  </si>
  <si>
    <t>STS H-HML-10-95</t>
  </si>
  <si>
    <t>STS H-ML-8-4</t>
  </si>
  <si>
    <t>189-10274</t>
  </si>
  <si>
    <t>189-10190</t>
  </si>
  <si>
    <t>189-10550</t>
  </si>
  <si>
    <t>041425x20</t>
  </si>
  <si>
    <t>041425x01</t>
  </si>
  <si>
    <r>
      <t xml:space="preserve"> DATE </t>
    </r>
    <r>
      <rPr>
        <b/>
        <sz val="18"/>
        <rFont val="Calibri"/>
        <family val="2"/>
      </rPr>
      <t>: Apr-15-2025</t>
    </r>
  </si>
  <si>
    <t xml:space="preserve">  Invoice#00948</t>
  </si>
  <si>
    <r>
      <t xml:space="preserve"> DATE </t>
    </r>
    <r>
      <rPr>
        <b/>
        <sz val="18"/>
        <rFont val="Calibri"/>
        <family val="2"/>
      </rPr>
      <t>: Apr-23-2025</t>
    </r>
  </si>
  <si>
    <t>042125x01</t>
  </si>
  <si>
    <t>042125x20</t>
  </si>
  <si>
    <t>STS H-BML-B224-10</t>
  </si>
  <si>
    <t>STS H-C-112</t>
  </si>
  <si>
    <t>STSH-MB-401T</t>
  </si>
  <si>
    <t>STS H-HC-001</t>
  </si>
  <si>
    <t>STS H-MB-406N-A</t>
  </si>
  <si>
    <t>189-10576</t>
  </si>
  <si>
    <t>189-10049</t>
  </si>
  <si>
    <t>189-10436</t>
  </si>
  <si>
    <t>189-10637</t>
  </si>
  <si>
    <t>189-10593</t>
  </si>
  <si>
    <t>#001244</t>
  </si>
  <si>
    <r>
      <t xml:space="preserve"> DATE </t>
    </r>
    <r>
      <rPr>
        <b/>
        <sz val="18"/>
        <rFont val="Calibri"/>
        <family val="2"/>
      </rPr>
      <t>: Apr-30-2025</t>
    </r>
  </si>
  <si>
    <t>#001245</t>
  </si>
  <si>
    <t xml:space="preserve">  Invoice#00949</t>
  </si>
  <si>
    <t>H-200L-8-9</t>
  </si>
  <si>
    <t>STS 200B-3N</t>
  </si>
  <si>
    <t>STS H-C-5</t>
  </si>
  <si>
    <t>STS-0635</t>
  </si>
  <si>
    <t>STS-0634</t>
  </si>
  <si>
    <t>189-10082</t>
  </si>
  <si>
    <t>042825x20</t>
  </si>
  <si>
    <t>042825x01</t>
  </si>
  <si>
    <t>#001246</t>
  </si>
  <si>
    <t xml:space="preserve">  Invoice#00950</t>
  </si>
  <si>
    <t>050525x20</t>
  </si>
  <si>
    <t>050525x01</t>
  </si>
  <si>
    <t>STS H-C5-6</t>
  </si>
  <si>
    <t>STS H-C-7</t>
  </si>
  <si>
    <t>STS H-HCL-8-96</t>
  </si>
  <si>
    <t>189-10087</t>
  </si>
  <si>
    <t>189-10092</t>
  </si>
  <si>
    <t>189-10583</t>
  </si>
  <si>
    <t>STS-HC-5</t>
  </si>
  <si>
    <r>
      <t xml:space="preserve"> DATE </t>
    </r>
    <r>
      <rPr>
        <b/>
        <sz val="18"/>
        <rFont val="Calibri"/>
        <family val="2"/>
      </rPr>
      <t>: May-07-2025</t>
    </r>
  </si>
  <si>
    <t xml:space="preserve">  Invoice#00951</t>
  </si>
  <si>
    <t>#001247</t>
  </si>
  <si>
    <r>
      <t xml:space="preserve"> DATE </t>
    </r>
    <r>
      <rPr>
        <b/>
        <sz val="18"/>
        <rFont val="Calibri"/>
        <family val="2"/>
      </rPr>
      <t>: May-14-2025</t>
    </r>
  </si>
  <si>
    <t>051225x01</t>
  </si>
  <si>
    <t>051225x20</t>
  </si>
  <si>
    <t>STS H-ML-6</t>
  </si>
  <si>
    <t>189-10238</t>
  </si>
  <si>
    <r>
      <t xml:space="preserve"> DATE </t>
    </r>
    <r>
      <rPr>
        <b/>
        <sz val="18"/>
        <rFont val="Calibri"/>
        <family val="2"/>
      </rPr>
      <t>: May-21-2025</t>
    </r>
  </si>
  <si>
    <t xml:space="preserve">  Invoice#00952</t>
  </si>
  <si>
    <t>#001248</t>
  </si>
  <si>
    <t>STS H-CR-436-37-CRIMP</t>
  </si>
  <si>
    <t>STS H-MB-7</t>
  </si>
  <si>
    <t>STS H-IL-350-A62</t>
  </si>
  <si>
    <t>STS H-I-1</t>
  </si>
  <si>
    <t>STS H-HCB-206N-96</t>
  </si>
  <si>
    <t>189-10570</t>
  </si>
  <si>
    <t>189-10143</t>
  </si>
  <si>
    <t>189-10165</t>
  </si>
  <si>
    <t>189-10607</t>
  </si>
  <si>
    <t>051925x20</t>
  </si>
  <si>
    <t>051925x01</t>
  </si>
  <si>
    <t>STS H-CR-436-38-CRIMP</t>
  </si>
  <si>
    <t xml:space="preserve">  Invoice#00953</t>
  </si>
  <si>
    <t>#001249</t>
  </si>
  <si>
    <r>
      <t xml:space="preserve"> DATE </t>
    </r>
    <r>
      <rPr>
        <b/>
        <sz val="18"/>
        <rFont val="Calibri"/>
        <family val="2"/>
      </rPr>
      <t>: May-28-2025</t>
    </r>
  </si>
  <si>
    <t>052625x01</t>
  </si>
  <si>
    <t>STS H-I-2</t>
  </si>
  <si>
    <t>189-10144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</si>
</sst>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#,##0.00"/>
    <numFmt numFmtId="165" formatCode="0.0000"/>
    <numFmt numFmtId="166" formatCode="&quot;$&quot;#,##0.00"/>
  </numFmts>
  <fonts count="4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63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sz val="10"/>
      <name val="Verdana"/>
      <family val="2"/>
    </font>
    <font>
      <sz val="1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4"/>
      <name val="Bahnschrift SemiBold SemiConden"/>
      <family val="2"/>
    </font>
    <font>
      <sz val="10"/>
      <name val="Calibri"/>
      <family val="2"/>
    </font>
    <font>
      <b/>
      <sz val="22"/>
      <color indexed="10"/>
      <name val="Abadi Extra Light"/>
      <family val="2"/>
    </font>
    <font>
      <sz val="10"/>
      <name val="Bookman Old Style"/>
      <family val="1"/>
    </font>
    <font>
      <b/>
      <sz val="16"/>
      <name val="Calibri"/>
      <family val="2"/>
    </font>
    <font>
      <b/>
      <sz val="18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sz val="12"/>
      <name val="Calibri"/>
      <family val="2"/>
    </font>
    <font>
      <b/>
      <sz val="13"/>
      <name val="Bookman Old Style"/>
      <family val="1"/>
    </font>
    <font>
      <b/>
      <sz val="16"/>
      <color indexed="10"/>
      <name val="Abadi Extra Light"/>
      <family val="2"/>
    </font>
    <font>
      <b/>
      <sz val="14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name val="Arial"/>
      <family val="2"/>
    </font>
    <font>
      <sz val="18"/>
      <name val="Calibri"/>
      <family val="2"/>
    </font>
    <font>
      <b/>
      <sz val="72"/>
      <name val="Calibri"/>
      <family val="2"/>
    </font>
    <font>
      <b/>
      <sz val="36"/>
      <color indexed="9"/>
      <name val="Calibri"/>
      <family val="2"/>
    </font>
    <font>
      <sz val="8"/>
      <name val="Calibri"/>
      <family val="2"/>
      <scheme val="minor"/>
    </font>
    <font>
      <b/>
      <sz val="48"/>
      <color indexed="9"/>
      <name val="Calibri"/>
      <family val="2"/>
    </font>
    <font>
      <b/>
      <sz val="18"/>
      <name val="Algerian"/>
      <family val="5"/>
    </font>
    <font>
      <sz val="16"/>
      <name val="Algerian"/>
      <family val="5"/>
    </font>
    <font>
      <sz val="12"/>
      <name val="Tahoma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2"/>
      <color indexed="63"/>
      <name val="Arial"/>
      <family val="2"/>
    </font>
    <font>
      <b/>
      <sz val="11"/>
      <name val="Calibri"/>
      <family val="2"/>
    </font>
    <font>
      <u/>
      <sz val="10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sz val="13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0">
    <xf numFmtId="0" fontId="0" fillId="0" borderId="0" xfId="0"/>
    <xf numFmtId="0" fontId="1" fillId="0" borderId="0" xfId="1"/>
    <xf numFmtId="0" fontId="2" fillId="0" borderId="0" xfId="1" applyFont="1"/>
    <xf numFmtId="164" fontId="1" fillId="0" borderId="0" xfId="1" applyNumberFormat="1"/>
    <xf numFmtId="164" fontId="3" fillId="2" borderId="1" xfId="1" applyNumberFormat="1" applyFont="1" applyFill="1" applyBorder="1" applyAlignment="1">
      <alignment horizontal="center"/>
    </xf>
    <xf numFmtId="0" fontId="4" fillId="2" borderId="2" xfId="1" applyFont="1" applyFill="1" applyBorder="1"/>
    <xf numFmtId="3" fontId="4" fillId="2" borderId="3" xfId="1" applyNumberFormat="1" applyFont="1" applyFill="1" applyBorder="1" applyAlignment="1">
      <alignment horizontal="center"/>
    </xf>
    <xf numFmtId="164" fontId="7" fillId="0" borderId="9" xfId="1" applyNumberFormat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11" xfId="1" applyFont="1" applyBorder="1" applyAlignment="1">
      <alignment horizontal="centerContinuous"/>
    </xf>
    <xf numFmtId="0" fontId="7" fillId="0" borderId="12" xfId="1" applyFont="1" applyBorder="1" applyAlignment="1">
      <alignment horizontal="centerContinuous"/>
    </xf>
    <xf numFmtId="0" fontId="7" fillId="0" borderId="13" xfId="1" applyFont="1" applyBorder="1" applyAlignment="1">
      <alignment horizontal="centerContinuous"/>
    </xf>
    <xf numFmtId="164" fontId="7" fillId="0" borderId="14" xfId="1" applyNumberFormat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16" xfId="1" applyFont="1" applyBorder="1" applyAlignment="1">
      <alignment horizontal="centerContinuous" vertical="center"/>
    </xf>
    <xf numFmtId="0" fontId="7" fillId="0" borderId="17" xfId="1" applyFont="1" applyBorder="1" applyAlignment="1">
      <alignment horizontal="centerContinuous" vertical="center"/>
    </xf>
    <xf numFmtId="0" fontId="7" fillId="0" borderId="18" xfId="1" applyFont="1" applyBorder="1" applyAlignment="1">
      <alignment horizontal="centerContinuous" vertical="center"/>
    </xf>
    <xf numFmtId="164" fontId="7" fillId="0" borderId="19" xfId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7" fillId="0" borderId="21" xfId="1" applyFont="1" applyBorder="1" applyAlignment="1">
      <alignment horizontal="centerContinuous" vertical="center"/>
    </xf>
    <xf numFmtId="0" fontId="7" fillId="0" borderId="22" xfId="1" applyFont="1" applyBorder="1" applyAlignment="1">
      <alignment horizontal="centerContinuous" vertical="center"/>
    </xf>
    <xf numFmtId="0" fontId="7" fillId="0" borderId="23" xfId="1" applyFont="1" applyBorder="1" applyAlignment="1">
      <alignment horizontal="centerContinuous" vertical="center"/>
    </xf>
    <xf numFmtId="165" fontId="7" fillId="0" borderId="24" xfId="1" applyNumberFormat="1" applyFont="1" applyBorder="1" applyAlignment="1">
      <alignment horizontal="center"/>
    </xf>
    <xf numFmtId="3" fontId="7" fillId="0" borderId="7" xfId="1" applyNumberFormat="1" applyFont="1" applyBorder="1" applyAlignment="1">
      <alignment horizontal="center"/>
    </xf>
    <xf numFmtId="0" fontId="7" fillId="0" borderId="2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/>
    </xf>
    <xf numFmtId="3" fontId="7" fillId="0" borderId="15" xfId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0" fontId="7" fillId="0" borderId="14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/>
    </xf>
    <xf numFmtId="165" fontId="7" fillId="0" borderId="27" xfId="1" applyNumberFormat="1" applyFont="1" applyBorder="1" applyAlignment="1">
      <alignment horizontal="center"/>
    </xf>
    <xf numFmtId="3" fontId="7" fillId="0" borderId="26" xfId="1" applyNumberFormat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3" fontId="7" fillId="0" borderId="26" xfId="1" applyNumberFormat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3" fontId="8" fillId="0" borderId="30" xfId="1" applyNumberFormat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9" fillId="0" borderId="31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0" fillId="0" borderId="0" xfId="1" applyFont="1"/>
    <xf numFmtId="0" fontId="11" fillId="0" borderId="0" xfId="1" applyFont="1" applyAlignment="1">
      <alignment vertical="center"/>
    </xf>
    <xf numFmtId="0" fontId="12" fillId="0" borderId="0" xfId="1" applyFont="1"/>
    <xf numFmtId="0" fontId="15" fillId="0" borderId="0" xfId="1" applyFont="1"/>
    <xf numFmtId="0" fontId="6" fillId="0" borderId="0" xfId="1" applyFont="1"/>
    <xf numFmtId="0" fontId="16" fillId="0" borderId="0" xfId="1" applyFont="1"/>
    <xf numFmtId="0" fontId="17" fillId="0" borderId="0" xfId="1" applyFont="1"/>
    <xf numFmtId="0" fontId="7" fillId="0" borderId="0" xfId="1" applyFont="1"/>
    <xf numFmtId="0" fontId="18" fillId="0" borderId="0" xfId="1" applyFont="1"/>
    <xf numFmtId="0" fontId="19" fillId="0" borderId="0" xfId="1" applyFont="1"/>
    <xf numFmtId="0" fontId="20" fillId="0" borderId="0" xfId="1" applyFont="1" applyAlignment="1">
      <alignment horizontal="right"/>
    </xf>
    <xf numFmtId="0" fontId="21" fillId="0" borderId="0" xfId="1" applyFont="1"/>
    <xf numFmtId="0" fontId="22" fillId="0" borderId="0" xfId="1" applyFont="1"/>
    <xf numFmtId="0" fontId="23" fillId="0" borderId="0" xfId="1" applyFont="1"/>
    <xf numFmtId="0" fontId="20" fillId="0" borderId="0" xfId="1" applyFont="1"/>
    <xf numFmtId="0" fontId="22" fillId="0" borderId="0" xfId="1" applyFont="1" applyAlignment="1">
      <alignment horizontal="centerContinuous"/>
    </xf>
    <xf numFmtId="0" fontId="22" fillId="0" borderId="0" xfId="1" applyFont="1" applyAlignment="1">
      <alignment horizontal="center"/>
    </xf>
    <xf numFmtId="0" fontId="7" fillId="0" borderId="0" xfId="1" applyFont="1" applyAlignment="1">
      <alignment horizontal="centerContinuous" vertical="center"/>
    </xf>
    <xf numFmtId="49" fontId="24" fillId="0" borderId="32" xfId="1" applyNumberFormat="1" applyFont="1" applyBorder="1" applyAlignment="1">
      <alignment horizontal="center" vertical="center" wrapText="1"/>
    </xf>
    <xf numFmtId="0" fontId="14" fillId="3" borderId="32" xfId="1" applyFont="1" applyFill="1" applyBorder="1" applyAlignment="1">
      <alignment horizontal="right" vertical="center" wrapText="1"/>
    </xf>
    <xf numFmtId="0" fontId="24" fillId="0" borderId="32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/>
    </xf>
    <xf numFmtId="164" fontId="7" fillId="0" borderId="25" xfId="1" applyNumberFormat="1" applyFont="1" applyBorder="1" applyAlignment="1">
      <alignment horizontal="center"/>
    </xf>
    <xf numFmtId="164" fontId="7" fillId="0" borderId="28" xfId="1" applyNumberFormat="1" applyFont="1" applyBorder="1" applyAlignment="1">
      <alignment horizontal="center"/>
    </xf>
    <xf numFmtId="0" fontId="7" fillId="0" borderId="28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/>
    </xf>
    <xf numFmtId="3" fontId="7" fillId="0" borderId="19" xfId="1" applyNumberFormat="1" applyFont="1" applyBorder="1" applyAlignment="1">
      <alignment horizontal="center"/>
    </xf>
    <xf numFmtId="3" fontId="7" fillId="0" borderId="14" xfId="1" applyNumberFormat="1" applyFont="1" applyBorder="1" applyAlignment="1">
      <alignment horizontal="center"/>
    </xf>
    <xf numFmtId="3" fontId="7" fillId="0" borderId="25" xfId="1" applyNumberFormat="1" applyFont="1" applyBorder="1" applyAlignment="1">
      <alignment horizontal="center"/>
    </xf>
    <xf numFmtId="165" fontId="7" fillId="0" borderId="19" xfId="1" applyNumberFormat="1" applyFont="1" applyBorder="1" applyAlignment="1">
      <alignment horizontal="center"/>
    </xf>
    <xf numFmtId="165" fontId="7" fillId="0" borderId="28" xfId="1" applyNumberFormat="1" applyFont="1" applyBorder="1" applyAlignment="1">
      <alignment horizontal="center"/>
    </xf>
    <xf numFmtId="165" fontId="7" fillId="0" borderId="14" xfId="1" applyNumberFormat="1" applyFont="1" applyBorder="1" applyAlignment="1">
      <alignment horizontal="center"/>
    </xf>
    <xf numFmtId="165" fontId="7" fillId="0" borderId="25" xfId="1" applyNumberFormat="1" applyFont="1" applyBorder="1" applyAlignment="1">
      <alignment horizontal="center"/>
    </xf>
    <xf numFmtId="3" fontId="4" fillId="2" borderId="34" xfId="1" applyNumberFormat="1" applyFont="1" applyFill="1" applyBorder="1" applyAlignment="1">
      <alignment horizontal="center"/>
    </xf>
    <xf numFmtId="0" fontId="4" fillId="2" borderId="35" xfId="1" applyFont="1" applyFill="1" applyBorder="1"/>
    <xf numFmtId="164" fontId="3" fillId="2" borderId="4" xfId="1" applyNumberFormat="1" applyFont="1" applyFill="1" applyBorder="1" applyAlignment="1">
      <alignment horizontal="center"/>
    </xf>
    <xf numFmtId="3" fontId="7" fillId="0" borderId="28" xfId="1" applyNumberFormat="1" applyFont="1" applyBorder="1" applyAlignment="1">
      <alignment horizontal="center"/>
    </xf>
    <xf numFmtId="164" fontId="3" fillId="2" borderId="32" xfId="1" applyNumberFormat="1" applyFont="1" applyFill="1" applyBorder="1" applyAlignment="1">
      <alignment horizontal="center"/>
    </xf>
    <xf numFmtId="0" fontId="4" fillId="2" borderId="5" xfId="1" applyFont="1" applyFill="1" applyBorder="1"/>
    <xf numFmtId="3" fontId="4" fillId="2" borderId="32" xfId="1" applyNumberFormat="1" applyFont="1" applyFill="1" applyBorder="1" applyAlignment="1">
      <alignment horizontal="center"/>
    </xf>
    <xf numFmtId="0" fontId="7" fillId="0" borderId="19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/>
    </xf>
    <xf numFmtId="0" fontId="7" fillId="0" borderId="37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28" fillId="4" borderId="6" xfId="1" applyFont="1" applyFill="1" applyBorder="1" applyAlignment="1">
      <alignment horizontal="centerContinuous" vertical="center" wrapText="1"/>
    </xf>
    <xf numFmtId="0" fontId="28" fillId="4" borderId="5" xfId="1" applyFont="1" applyFill="1" applyBorder="1" applyAlignment="1">
      <alignment horizontal="centerContinuous" vertical="center" wrapText="1"/>
    </xf>
    <xf numFmtId="0" fontId="28" fillId="4" borderId="4" xfId="1" applyFont="1" applyFill="1" applyBorder="1" applyAlignment="1">
      <alignment horizontal="centerContinuous" vertical="center" wrapText="1"/>
    </xf>
    <xf numFmtId="0" fontId="29" fillId="0" borderId="0" xfId="1" applyFont="1"/>
    <xf numFmtId="0" fontId="30" fillId="0" borderId="0" xfId="1" applyFont="1"/>
    <xf numFmtId="0" fontId="32" fillId="0" borderId="0" xfId="1" applyFont="1" applyAlignment="1">
      <alignment horizontal="centerContinuous"/>
    </xf>
    <xf numFmtId="0" fontId="33" fillId="0" borderId="0" xfId="1" applyFont="1"/>
    <xf numFmtId="0" fontId="34" fillId="0" borderId="0" xfId="1" applyFont="1"/>
    <xf numFmtId="0" fontId="35" fillId="0" borderId="0" xfId="1" applyFont="1"/>
    <xf numFmtId="0" fontId="36" fillId="0" borderId="0" xfId="1" applyFont="1"/>
    <xf numFmtId="0" fontId="37" fillId="0" borderId="0" xfId="1" applyFont="1"/>
    <xf numFmtId="0" fontId="9" fillId="0" borderId="29" xfId="1" applyFont="1" applyBorder="1" applyAlignment="1">
      <alignment horizontal="centerContinuous" vertical="center"/>
    </xf>
    <xf numFmtId="0" fontId="9" fillId="0" borderId="29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7" fillId="0" borderId="6" xfId="1" applyFont="1" applyBorder="1" applyAlignment="1">
      <alignment horizontal="centerContinuous"/>
    </xf>
    <xf numFmtId="0" fontId="7" fillId="0" borderId="29" xfId="1" applyFont="1" applyBorder="1" applyAlignment="1">
      <alignment horizontal="center" wrapText="1"/>
    </xf>
    <xf numFmtId="0" fontId="7" fillId="0" borderId="39" xfId="1" applyFont="1" applyBorder="1" applyAlignment="1">
      <alignment horizontal="center"/>
    </xf>
    <xf numFmtId="0" fontId="7" fillId="0" borderId="33" xfId="1" applyFont="1" applyBorder="1" applyAlignment="1">
      <alignment horizontal="center"/>
    </xf>
    <xf numFmtId="3" fontId="7" fillId="0" borderId="30" xfId="1" applyNumberFormat="1" applyFont="1" applyBorder="1" applyAlignment="1">
      <alignment horizontal="center"/>
    </xf>
    <xf numFmtId="2" fontId="7" fillId="0" borderId="39" xfId="1" applyNumberFormat="1" applyFont="1" applyBorder="1" applyAlignment="1">
      <alignment horizontal="center"/>
    </xf>
    <xf numFmtId="2" fontId="7" fillId="0" borderId="33" xfId="1" applyNumberFormat="1" applyFont="1" applyBorder="1" applyAlignment="1">
      <alignment horizontal="center"/>
    </xf>
    <xf numFmtId="0" fontId="7" fillId="0" borderId="32" xfId="1" applyFont="1" applyBorder="1" applyAlignment="1">
      <alignment horizontal="center"/>
    </xf>
    <xf numFmtId="2" fontId="7" fillId="0" borderId="32" xfId="1" applyNumberFormat="1" applyFont="1" applyBorder="1" applyAlignment="1">
      <alignment horizontal="center"/>
    </xf>
    <xf numFmtId="3" fontId="7" fillId="0" borderId="5" xfId="1" applyNumberFormat="1" applyFont="1" applyBorder="1" applyAlignment="1">
      <alignment horizontal="center"/>
    </xf>
    <xf numFmtId="0" fontId="5" fillId="0" borderId="6" xfId="1" applyFont="1" applyBorder="1"/>
    <xf numFmtId="0" fontId="5" fillId="0" borderId="5" xfId="1" applyFont="1" applyBorder="1"/>
    <xf numFmtId="166" fontId="3" fillId="2" borderId="4" xfId="1" applyNumberFormat="1" applyFont="1" applyFill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5" fontId="1" fillId="0" borderId="0" xfId="1" applyNumberFormat="1"/>
    <xf numFmtId="3" fontId="1" fillId="0" borderId="0" xfId="1" applyNumberFormat="1"/>
    <xf numFmtId="0" fontId="7" fillId="0" borderId="40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41" xfId="1" applyFont="1" applyBorder="1" applyAlignment="1">
      <alignment horizontal="center"/>
    </xf>
    <xf numFmtId="0" fontId="7" fillId="0" borderId="20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3" fontId="7" fillId="0" borderId="9" xfId="1" applyNumberFormat="1" applyFont="1" applyBorder="1" applyAlignment="1">
      <alignment horizontal="center"/>
    </xf>
    <xf numFmtId="165" fontId="7" fillId="0" borderId="20" xfId="1" applyNumberFormat="1" applyFont="1" applyBorder="1" applyAlignment="1">
      <alignment horizontal="center"/>
    </xf>
    <xf numFmtId="165" fontId="7" fillId="0" borderId="15" xfId="1" applyNumberFormat="1" applyFont="1" applyBorder="1" applyAlignment="1">
      <alignment horizontal="center"/>
    </xf>
    <xf numFmtId="165" fontId="7" fillId="0" borderId="10" xfId="1" applyNumberFormat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center"/>
    </xf>
    <xf numFmtId="165" fontId="7" fillId="0" borderId="0" xfId="1" applyNumberFormat="1" applyFont="1" applyAlignment="1">
      <alignment horizontal="center"/>
    </xf>
    <xf numFmtId="164" fontId="7" fillId="0" borderId="39" xfId="1" applyNumberFormat="1" applyFont="1" applyBorder="1" applyAlignment="1">
      <alignment horizontal="center"/>
    </xf>
    <xf numFmtId="3" fontId="7" fillId="0" borderId="39" xfId="1" applyNumberFormat="1" applyFont="1" applyBorder="1" applyAlignment="1">
      <alignment horizontal="center"/>
    </xf>
    <xf numFmtId="0" fontId="7" fillId="0" borderId="31" xfId="1" applyFont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9" fillId="0" borderId="6" xfId="1" applyFont="1" applyBorder="1" applyAlignment="1">
      <alignment horizontal="center" vertical="center"/>
    </xf>
    <xf numFmtId="3" fontId="7" fillId="0" borderId="37" xfId="1" applyNumberFormat="1" applyFont="1" applyBorder="1" applyAlignment="1">
      <alignment horizontal="center"/>
    </xf>
    <xf numFmtId="3" fontId="7" fillId="0" borderId="45" xfId="1" applyNumberFormat="1" applyFont="1" applyBorder="1" applyAlignment="1">
      <alignment horizontal="center"/>
    </xf>
    <xf numFmtId="3" fontId="7" fillId="0" borderId="43" xfId="1" applyNumberFormat="1" applyFont="1" applyBorder="1" applyAlignment="1">
      <alignment horizontal="center"/>
    </xf>
    <xf numFmtId="16" fontId="1" fillId="0" borderId="0" xfId="1" applyNumberFormat="1"/>
    <xf numFmtId="0" fontId="38" fillId="0" borderId="0" xfId="1" applyFont="1"/>
    <xf numFmtId="0" fontId="5" fillId="0" borderId="6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26" fillId="4" borderId="6" xfId="1" applyFont="1" applyFill="1" applyBorder="1" applyAlignment="1">
      <alignment horizontal="center" vertical="center" wrapText="1"/>
    </xf>
    <xf numFmtId="0" fontId="26" fillId="4" borderId="5" xfId="1" applyFont="1" applyFill="1" applyBorder="1" applyAlignment="1">
      <alignment horizontal="center" vertical="center" wrapText="1"/>
    </xf>
    <xf numFmtId="0" fontId="26" fillId="4" borderId="4" xfId="1" applyFont="1" applyFill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5" fillId="0" borderId="29" xfId="1" applyFont="1" applyBorder="1" applyAlignment="1">
      <alignment horizontal="center" vertical="center" wrapText="1"/>
    </xf>
    <xf numFmtId="0" fontId="25" fillId="0" borderId="30" xfId="1" applyFont="1" applyBorder="1" applyAlignment="1">
      <alignment horizontal="center" vertical="center" wrapText="1"/>
    </xf>
    <xf numFmtId="0" fontId="25" fillId="0" borderId="33" xfId="1" applyFont="1" applyBorder="1" applyAlignment="1">
      <alignment horizontal="center" vertical="center" wrapText="1"/>
    </xf>
    <xf numFmtId="0" fontId="25" fillId="0" borderId="8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5" fillId="0" borderId="1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7" fillId="0" borderId="30" xfId="1" applyFont="1" applyBorder="1" applyAlignment="1">
      <alignment horizontal="center" vertical="center"/>
    </xf>
    <xf numFmtId="0" fontId="7" fillId="5" borderId="14" xfId="1" applyFont="1" applyFill="1" applyBorder="1" applyAlignment="1">
      <alignment horizontal="center"/>
    </xf>
    <xf numFmtId="0" fontId="39" fillId="0" borderId="17" xfId="1" applyFont="1" applyBorder="1" applyAlignment="1">
      <alignment horizontal="center"/>
    </xf>
  </cellXfs>
  <cellStyles count="3">
    <cellStyle name="Normal" xfId="0" builtinId="0"/>
    <cellStyle name="Normal 2" xfId="1" xr:uid="{515798E5-D9D8-40A5-8555-DE6A60E871D0}"/>
    <cellStyle name="Normal 2 3" xfId="2" xr:uid="{A78F1BC3-B07A-46EF-B988-8AAABF2582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F0F26FB6-847E-4AB6-9F6E-0825FA903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8554729F-3B9B-488B-A02D-8A3CE8ED5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369C2249-2126-4473-8856-924F96713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6C9F99F6-A7DE-411B-A719-0AAE5AA2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39405E50-FBF5-4011-97B6-3516DF79B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7E58F05C-ADBE-4B74-A0F3-953EF381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C9118813-6B54-46D6-96C3-85E71E49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0CE6316D-985E-4695-975D-8D38C2C6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F5EFC6C0-B035-44EE-8CAE-F1EC87BE3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215761</xdr:colOff>
      <xdr:row>1</xdr:row>
      <xdr:rowOff>58392</xdr:rowOff>
    </xdr:from>
    <xdr:to>
      <xdr:col>1</xdr:col>
      <xdr:colOff>1143000</xdr:colOff>
      <xdr:row>2</xdr:row>
      <xdr:rowOff>448835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3FB5E-FEBF-4127-ADCF-3B3F81CD9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761" y="677517"/>
          <a:ext cx="1298714" cy="895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0F0EDEE7-F353-4F47-9BE5-BFCCCEB07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463F7DA7-1072-4F92-8E44-020DC0D2E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4C11F9D7-6D73-46C9-B1F6-3D2E8F928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8699D2D2-D8C5-45C9-998A-9A169CF95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8CCA0386-6276-4BD2-8338-1AE723C6D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9FA3683E-59FD-44BD-B9E6-3A3D0B2C0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F2BAFAD8-9179-4FEE-89FA-68179F20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B7AFB3ED-245B-4B15-8FBB-390A02A91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6B4984C2-E6EF-49FF-ABDA-704B3C51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E5CAAF6B-0557-4494-9F8D-F6C23356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2EEC46C3-652D-4827-B9BE-1BA523E9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704850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85725</xdr:rowOff>
    </xdr:from>
    <xdr:ext cx="1476375" cy="837177"/>
    <xdr:pic>
      <xdr:nvPicPr>
        <xdr:cNvPr id="2" name="Picture 1">
          <a:extLst>
            <a:ext uri="{FF2B5EF4-FFF2-40B4-BE49-F238E27FC236}">
              <a16:creationId xmlns:a16="http://schemas.microsoft.com/office/drawing/2014/main" id="{84AE64DB-B423-4824-955D-7BB866996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575" y="276225"/>
          <a:ext cx="1476375" cy="8371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105C-328C-45F3-B861-1890949F3D45}">
  <sheetPr>
    <pageSetUpPr fitToPage="1"/>
  </sheetPr>
  <dimension ref="A1:J44"/>
  <sheetViews>
    <sheetView tabSelected="1" topLeftCell="A23" zoomScale="121" zoomScaleNormal="121" workbookViewId="0">
      <selection activeCell="G30" sqref="G16:G30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357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356</v>
      </c>
      <c r="C13" s="162"/>
      <c r="D13" s="42"/>
      <c r="E13" s="41"/>
      <c r="F13" s="41"/>
      <c r="G13" s="41"/>
      <c r="H13" s="163" t="s">
        <v>358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140" t="s">
        <v>31</v>
      </c>
      <c r="E15" s="140" t="s">
        <v>30</v>
      </c>
      <c r="F15" s="39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8" t="s">
        <v>23</v>
      </c>
      <c r="C16" s="138" t="s">
        <v>22</v>
      </c>
      <c r="D16" s="133" t="s">
        <v>359</v>
      </c>
      <c r="E16" s="123">
        <v>49032</v>
      </c>
      <c r="F16" s="69">
        <v>1980231</v>
      </c>
      <c r="G16" s="142">
        <v>100000</v>
      </c>
      <c r="H16" s="135">
        <v>0.13800000000000001</v>
      </c>
      <c r="I16" s="136">
        <f t="shared" ref="I16:I30" si="0">G16*H16</f>
        <v>13800.000000000002</v>
      </c>
    </row>
    <row r="17" spans="2:10" ht="18" customHeight="1" x14ac:dyDescent="0.25">
      <c r="B17" s="27" t="s">
        <v>25</v>
      </c>
      <c r="C17" s="27" t="s">
        <v>24</v>
      </c>
      <c r="D17" s="67" t="s">
        <v>359</v>
      </c>
      <c r="E17" s="124">
        <v>49110</v>
      </c>
      <c r="F17" s="27">
        <v>1982798</v>
      </c>
      <c r="G17" s="141">
        <v>100000</v>
      </c>
      <c r="H17" s="130">
        <v>9.1200000000000003E-2</v>
      </c>
      <c r="I17" s="12">
        <f t="shared" si="0"/>
        <v>9120</v>
      </c>
    </row>
    <row r="18" spans="2:10" ht="18" customHeight="1" x14ac:dyDescent="0.3">
      <c r="B18" s="27" t="s">
        <v>344</v>
      </c>
      <c r="C18" s="169" t="s">
        <v>18</v>
      </c>
      <c r="D18" s="67" t="s">
        <v>359</v>
      </c>
      <c r="E18" s="124">
        <v>48322</v>
      </c>
      <c r="F18" s="27">
        <v>1955992</v>
      </c>
      <c r="G18" s="141">
        <v>100000</v>
      </c>
      <c r="H18" s="130">
        <v>0.16830000000000001</v>
      </c>
      <c r="I18" s="12">
        <f t="shared" si="0"/>
        <v>16830</v>
      </c>
    </row>
    <row r="19" spans="2:10" ht="18" customHeight="1" x14ac:dyDescent="0.3">
      <c r="B19" s="27" t="s">
        <v>344</v>
      </c>
      <c r="C19" s="169" t="s">
        <v>18</v>
      </c>
      <c r="D19" s="67" t="s">
        <v>359</v>
      </c>
      <c r="E19" s="124">
        <v>48321</v>
      </c>
      <c r="F19" s="27">
        <v>1955984</v>
      </c>
      <c r="G19" s="141">
        <v>49000</v>
      </c>
      <c r="H19" s="130">
        <v>0.16830000000000001</v>
      </c>
      <c r="I19" s="12">
        <f t="shared" si="0"/>
        <v>8246.7000000000007</v>
      </c>
    </row>
    <row r="20" spans="2:10" ht="18" customHeight="1" x14ac:dyDescent="0.25">
      <c r="B20" s="27" t="s">
        <v>276</v>
      </c>
      <c r="C20" s="32" t="s">
        <v>281</v>
      </c>
      <c r="D20" s="67" t="s">
        <v>359</v>
      </c>
      <c r="E20" s="124">
        <v>49061</v>
      </c>
      <c r="F20" s="27">
        <v>1981162</v>
      </c>
      <c r="G20" s="141">
        <v>60000</v>
      </c>
      <c r="H20" s="130">
        <v>0.14499999999999999</v>
      </c>
      <c r="I20" s="12">
        <f t="shared" si="0"/>
        <v>8700</v>
      </c>
    </row>
    <row r="21" spans="2:10" ht="18" customHeight="1" x14ac:dyDescent="0.25">
      <c r="B21" s="27" t="s">
        <v>14</v>
      </c>
      <c r="C21" s="32" t="s">
        <v>13</v>
      </c>
      <c r="D21" s="67" t="s">
        <v>359</v>
      </c>
      <c r="E21" s="124">
        <v>48990</v>
      </c>
      <c r="F21" s="27">
        <v>1979821</v>
      </c>
      <c r="G21" s="141">
        <v>36000</v>
      </c>
      <c r="H21" s="130">
        <v>0.17519999999999999</v>
      </c>
      <c r="I21" s="12">
        <f t="shared" si="0"/>
        <v>6307.2</v>
      </c>
    </row>
    <row r="22" spans="2:10" ht="18" customHeight="1" x14ac:dyDescent="0.25">
      <c r="B22" s="27" t="s">
        <v>14</v>
      </c>
      <c r="C22" s="32" t="s">
        <v>13</v>
      </c>
      <c r="D22" s="67" t="s">
        <v>359</v>
      </c>
      <c r="E22" s="124">
        <v>48992</v>
      </c>
      <c r="F22" s="27">
        <v>1979847</v>
      </c>
      <c r="G22" s="141">
        <v>36000</v>
      </c>
      <c r="H22" s="130">
        <v>0.17519999999999999</v>
      </c>
      <c r="I22" s="12">
        <f t="shared" si="0"/>
        <v>6307.2</v>
      </c>
    </row>
    <row r="23" spans="2:10" ht="18" customHeight="1" x14ac:dyDescent="0.25">
      <c r="B23" s="27" t="s">
        <v>14</v>
      </c>
      <c r="C23" s="32" t="s">
        <v>13</v>
      </c>
      <c r="D23" s="67" t="s">
        <v>359</v>
      </c>
      <c r="E23" s="124">
        <v>48991</v>
      </c>
      <c r="F23" s="27">
        <v>1979839</v>
      </c>
      <c r="G23" s="141">
        <v>12000</v>
      </c>
      <c r="H23" s="130">
        <v>0.17519999999999999</v>
      </c>
      <c r="I23" s="12">
        <f t="shared" si="0"/>
        <v>2102.4</v>
      </c>
    </row>
    <row r="24" spans="2:10" ht="18" customHeight="1" x14ac:dyDescent="0.25">
      <c r="B24" s="27" t="s">
        <v>14</v>
      </c>
      <c r="C24" s="32" t="s">
        <v>13</v>
      </c>
      <c r="D24" s="67" t="s">
        <v>359</v>
      </c>
      <c r="E24" s="124">
        <v>48993</v>
      </c>
      <c r="F24" s="27">
        <v>1979855</v>
      </c>
      <c r="G24" s="141">
        <v>12000</v>
      </c>
      <c r="H24" s="130">
        <v>0.17519999999999999</v>
      </c>
      <c r="I24" s="12">
        <f t="shared" si="0"/>
        <v>2102.4</v>
      </c>
      <c r="J24" s="122"/>
    </row>
    <row r="25" spans="2:10" ht="18" customHeight="1" x14ac:dyDescent="0.25">
      <c r="B25" s="27" t="s">
        <v>236</v>
      </c>
      <c r="C25" s="27" t="s">
        <v>235</v>
      </c>
      <c r="D25" s="67" t="s">
        <v>359</v>
      </c>
      <c r="E25" s="124">
        <v>48850</v>
      </c>
      <c r="F25" s="27">
        <v>1972830</v>
      </c>
      <c r="G25" s="141">
        <v>12000</v>
      </c>
      <c r="H25" s="130">
        <v>0.14810000000000001</v>
      </c>
      <c r="I25" s="12">
        <f t="shared" si="0"/>
        <v>1777.2</v>
      </c>
    </row>
    <row r="26" spans="2:10" ht="18" customHeight="1" x14ac:dyDescent="0.25">
      <c r="B26" s="27" t="s">
        <v>236</v>
      </c>
      <c r="C26" s="27" t="s">
        <v>235</v>
      </c>
      <c r="D26" s="67" t="s">
        <v>359</v>
      </c>
      <c r="E26" s="124"/>
      <c r="F26" s="27">
        <v>1952804</v>
      </c>
      <c r="G26" s="141">
        <v>10600</v>
      </c>
      <c r="H26" s="130">
        <v>0.14810000000000001</v>
      </c>
      <c r="I26" s="12">
        <f t="shared" ref="I26" si="1">G26*H26</f>
        <v>1569.8600000000001</v>
      </c>
    </row>
    <row r="27" spans="2:10" ht="18" customHeight="1" x14ac:dyDescent="0.25">
      <c r="B27" s="27" t="s">
        <v>230</v>
      </c>
      <c r="C27" s="27" t="s">
        <v>232</v>
      </c>
      <c r="D27" s="67" t="s">
        <v>359</v>
      </c>
      <c r="E27" s="124">
        <v>48774</v>
      </c>
      <c r="F27" s="27">
        <v>1970367</v>
      </c>
      <c r="G27" s="141">
        <v>9100</v>
      </c>
      <c r="H27" s="130">
        <v>0.13800000000000001</v>
      </c>
      <c r="I27" s="12">
        <f t="shared" si="0"/>
        <v>1255.8000000000002</v>
      </c>
    </row>
    <row r="28" spans="2:10" ht="18" customHeight="1" x14ac:dyDescent="0.25">
      <c r="B28" s="27" t="s">
        <v>360</v>
      </c>
      <c r="C28" s="27" t="s">
        <v>361</v>
      </c>
      <c r="D28" s="67" t="s">
        <v>359</v>
      </c>
      <c r="E28" s="124">
        <v>49166</v>
      </c>
      <c r="F28" s="27">
        <v>1985147</v>
      </c>
      <c r="G28" s="141">
        <v>1000</v>
      </c>
      <c r="H28" s="130">
        <v>0.14929999999999999</v>
      </c>
      <c r="I28" s="12">
        <f t="shared" si="0"/>
        <v>149.29999999999998</v>
      </c>
    </row>
    <row r="29" spans="2:10" ht="18" customHeight="1" x14ac:dyDescent="0.25">
      <c r="B29" s="27" t="s">
        <v>126</v>
      </c>
      <c r="C29" s="27" t="s">
        <v>131</v>
      </c>
      <c r="D29" s="67" t="s">
        <v>359</v>
      </c>
      <c r="E29" s="124">
        <v>49156</v>
      </c>
      <c r="F29" s="27">
        <v>1984945</v>
      </c>
      <c r="G29" s="141">
        <v>1000</v>
      </c>
      <c r="H29" s="130">
        <v>0.1542</v>
      </c>
      <c r="I29" s="12">
        <f t="shared" si="0"/>
        <v>154.20000000000002</v>
      </c>
    </row>
    <row r="30" spans="2:10" ht="18" customHeight="1" thickBot="1" x14ac:dyDescent="0.3">
      <c r="B30" s="88" t="s">
        <v>346</v>
      </c>
      <c r="C30" s="88" t="s">
        <v>351</v>
      </c>
      <c r="D30" s="8" t="s">
        <v>359</v>
      </c>
      <c r="E30" s="125">
        <v>48870</v>
      </c>
      <c r="F30" s="88">
        <v>1973998</v>
      </c>
      <c r="G30" s="143">
        <v>500</v>
      </c>
      <c r="H30" s="131">
        <v>0.25969999999999999</v>
      </c>
      <c r="I30" s="7">
        <f t="shared" si="0"/>
        <v>129.85</v>
      </c>
    </row>
    <row r="31" spans="2:10" ht="15.75" x14ac:dyDescent="0.25">
      <c r="B31" s="16" t="s">
        <v>3</v>
      </c>
      <c r="C31" s="15"/>
      <c r="D31" s="15"/>
      <c r="E31" s="15"/>
      <c r="F31" s="15"/>
      <c r="G31" s="14"/>
      <c r="H31" s="29">
        <v>800</v>
      </c>
      <c r="I31" s="64">
        <v>800</v>
      </c>
    </row>
    <row r="32" spans="2:10" ht="15.75" x14ac:dyDescent="0.25">
      <c r="B32" s="16" t="s">
        <v>2</v>
      </c>
      <c r="C32" s="15"/>
      <c r="D32" s="15"/>
      <c r="E32" s="15"/>
      <c r="F32" s="15"/>
      <c r="G32" s="14"/>
      <c r="H32" s="13">
        <v>250</v>
      </c>
      <c r="I32" s="12">
        <v>250</v>
      </c>
    </row>
    <row r="33" spans="2:9" ht="16.5" thickBot="1" x14ac:dyDescent="0.3">
      <c r="B33" s="11" t="s">
        <v>1</v>
      </c>
      <c r="C33" s="10"/>
      <c r="D33" s="10"/>
      <c r="E33" s="10"/>
      <c r="F33" s="10"/>
      <c r="G33" s="9"/>
      <c r="H33" s="8">
        <v>450</v>
      </c>
      <c r="I33" s="7">
        <v>450</v>
      </c>
    </row>
    <row r="34" spans="2:9" ht="15.75" thickBot="1" x14ac:dyDescent="0.3">
      <c r="B34" s="164" t="s">
        <v>0</v>
      </c>
      <c r="C34" s="165"/>
      <c r="D34" s="165"/>
      <c r="E34" s="165"/>
      <c r="F34" s="165"/>
      <c r="G34" s="165"/>
      <c r="H34" s="165"/>
      <c r="I34" s="166"/>
    </row>
    <row r="35" spans="2:9" ht="29.25" thickBot="1" x14ac:dyDescent="0.5">
      <c r="B35" s="146"/>
      <c r="C35" s="147"/>
      <c r="D35" s="147"/>
      <c r="E35" s="147"/>
      <c r="F35" s="148"/>
      <c r="G35" s="83">
        <f>SUM(G16:G30)</f>
        <v>539200</v>
      </c>
      <c r="H35" s="82"/>
      <c r="I35" s="81">
        <f>SUM(I16:I33)</f>
        <v>80052.109999999986</v>
      </c>
    </row>
    <row r="37" spans="2:9" x14ac:dyDescent="0.2">
      <c r="D37" s="3"/>
      <c r="G37" s="122"/>
      <c r="I37" s="3"/>
    </row>
    <row r="40" spans="2:9" x14ac:dyDescent="0.2">
      <c r="I40" s="3"/>
    </row>
    <row r="41" spans="2:9" x14ac:dyDescent="0.2">
      <c r="D41" s="2"/>
    </row>
    <row r="42" spans="2:9" x14ac:dyDescent="0.2">
      <c r="G42" s="145"/>
    </row>
    <row r="44" spans="2:9" x14ac:dyDescent="0.2">
      <c r="G44" s="145"/>
    </row>
  </sheetData>
  <mergeCells count="7">
    <mergeCell ref="B35:F35"/>
    <mergeCell ref="A1:I1"/>
    <mergeCell ref="A2:B3"/>
    <mergeCell ref="C2:G3"/>
    <mergeCell ref="B13:C13"/>
    <mergeCell ref="H13:I13"/>
    <mergeCell ref="B34:I34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127B-26C7-4EFB-9082-7FE9F6F035AA}">
  <sheetPr>
    <pageSetUpPr fitToPage="1"/>
  </sheetPr>
  <dimension ref="A1:K50"/>
  <sheetViews>
    <sheetView topLeftCell="A25" zoomScale="121" zoomScaleNormal="121" workbookViewId="0">
      <selection activeCell="C33" sqref="C33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343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342</v>
      </c>
      <c r="C13" s="162"/>
      <c r="D13" s="42"/>
      <c r="E13" s="41"/>
      <c r="F13" s="41"/>
      <c r="G13" s="41"/>
      <c r="H13" s="163" t="s">
        <v>341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140" t="s">
        <v>31</v>
      </c>
      <c r="E15" s="39" t="s">
        <v>30</v>
      </c>
      <c r="F15" s="39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8" t="s">
        <v>59</v>
      </c>
      <c r="C16" s="138" t="s">
        <v>71</v>
      </c>
      <c r="D16" s="133" t="s">
        <v>353</v>
      </c>
      <c r="E16" s="109">
        <v>48769</v>
      </c>
      <c r="F16" s="109">
        <v>1970316</v>
      </c>
      <c r="G16" s="142">
        <v>100000</v>
      </c>
      <c r="H16" s="135">
        <v>8.43E-2</v>
      </c>
      <c r="I16" s="136">
        <f t="shared" ref="I16:I36" si="0">G16*H16</f>
        <v>8430</v>
      </c>
    </row>
    <row r="17" spans="2:11" ht="18" customHeight="1" x14ac:dyDescent="0.25">
      <c r="B17" s="27" t="s">
        <v>230</v>
      </c>
      <c r="C17" s="27" t="s">
        <v>232</v>
      </c>
      <c r="D17" s="67" t="s">
        <v>353</v>
      </c>
      <c r="E17" s="27">
        <v>48774</v>
      </c>
      <c r="F17" s="27">
        <v>1970367</v>
      </c>
      <c r="G17" s="141">
        <v>90900</v>
      </c>
      <c r="H17" s="130">
        <v>0.13800000000000001</v>
      </c>
      <c r="I17" s="12">
        <f t="shared" si="0"/>
        <v>12544.2</v>
      </c>
    </row>
    <row r="18" spans="2:11" ht="18" customHeight="1" x14ac:dyDescent="0.25">
      <c r="B18" s="27" t="s">
        <v>344</v>
      </c>
      <c r="C18" s="32" t="s">
        <v>18</v>
      </c>
      <c r="D18" s="67" t="s">
        <v>354</v>
      </c>
      <c r="E18" s="27">
        <v>48321</v>
      </c>
      <c r="F18" s="27">
        <v>1955984</v>
      </c>
      <c r="G18" s="141">
        <v>51000</v>
      </c>
      <c r="H18" s="130">
        <v>0.16830000000000001</v>
      </c>
      <c r="I18" s="12">
        <f t="shared" si="0"/>
        <v>8583.3000000000011</v>
      </c>
    </row>
    <row r="19" spans="2:11" ht="18" customHeight="1" x14ac:dyDescent="0.25">
      <c r="B19" s="27" t="s">
        <v>355</v>
      </c>
      <c r="C19" s="32" t="s">
        <v>72</v>
      </c>
      <c r="D19" s="67" t="s">
        <v>354</v>
      </c>
      <c r="E19" s="27">
        <v>48325</v>
      </c>
      <c r="F19" s="27">
        <v>1956021</v>
      </c>
      <c r="G19" s="141">
        <v>43000</v>
      </c>
      <c r="H19" s="130">
        <v>0.14990000000000001</v>
      </c>
      <c r="I19" s="12">
        <f t="shared" si="0"/>
        <v>6445.7</v>
      </c>
    </row>
    <row r="20" spans="2:11" ht="18" customHeight="1" x14ac:dyDescent="0.25">
      <c r="B20" s="27" t="s">
        <v>14</v>
      </c>
      <c r="C20" s="32" t="s">
        <v>13</v>
      </c>
      <c r="D20" s="67" t="s">
        <v>354</v>
      </c>
      <c r="E20" s="27">
        <v>48811</v>
      </c>
      <c r="F20" s="27">
        <v>1971773</v>
      </c>
      <c r="G20" s="141">
        <v>36000</v>
      </c>
      <c r="H20" s="130">
        <v>0.17519999999999999</v>
      </c>
      <c r="I20" s="12">
        <f t="shared" si="0"/>
        <v>6307.2</v>
      </c>
    </row>
    <row r="21" spans="2:11" ht="18" customHeight="1" x14ac:dyDescent="0.25">
      <c r="B21" s="27" t="s">
        <v>14</v>
      </c>
      <c r="C21" s="32" t="s">
        <v>13</v>
      </c>
      <c r="D21" s="67" t="s">
        <v>354</v>
      </c>
      <c r="E21" s="27">
        <v>48989</v>
      </c>
      <c r="F21" s="27">
        <v>1979812</v>
      </c>
      <c r="G21" s="141">
        <v>36000</v>
      </c>
      <c r="H21" s="130">
        <v>0.17519999999999999</v>
      </c>
      <c r="I21" s="12">
        <f t="shared" si="0"/>
        <v>6307.2</v>
      </c>
    </row>
    <row r="22" spans="2:11" ht="18" customHeight="1" x14ac:dyDescent="0.25">
      <c r="B22" s="27" t="s">
        <v>14</v>
      </c>
      <c r="C22" s="27" t="s">
        <v>13</v>
      </c>
      <c r="D22" s="67" t="s">
        <v>354</v>
      </c>
      <c r="E22" s="27">
        <v>48991</v>
      </c>
      <c r="F22" s="27">
        <v>1979839</v>
      </c>
      <c r="G22" s="141">
        <v>24000</v>
      </c>
      <c r="H22" s="130">
        <v>0.17519999999999999</v>
      </c>
      <c r="I22" s="12">
        <f t="shared" si="0"/>
        <v>4204.8</v>
      </c>
    </row>
    <row r="23" spans="2:11" ht="18" customHeight="1" x14ac:dyDescent="0.25">
      <c r="B23" s="27" t="s">
        <v>62</v>
      </c>
      <c r="C23" s="27" t="s">
        <v>74</v>
      </c>
      <c r="D23" s="67" t="s">
        <v>354</v>
      </c>
      <c r="E23" s="27">
        <v>48659</v>
      </c>
      <c r="F23" s="27">
        <v>1966780</v>
      </c>
      <c r="G23" s="141">
        <v>20000</v>
      </c>
      <c r="H23" s="130">
        <v>0.16009999999999999</v>
      </c>
      <c r="I23" s="12">
        <f t="shared" si="0"/>
        <v>3202</v>
      </c>
    </row>
    <row r="24" spans="2:11" ht="18" customHeight="1" x14ac:dyDescent="0.25">
      <c r="B24" s="27" t="s">
        <v>173</v>
      </c>
      <c r="C24" s="27" t="s">
        <v>178</v>
      </c>
      <c r="D24" s="67" t="s">
        <v>354</v>
      </c>
      <c r="E24" s="27">
        <v>48791</v>
      </c>
      <c r="F24" s="27">
        <v>1971301</v>
      </c>
      <c r="G24" s="141">
        <v>15000</v>
      </c>
      <c r="H24" s="130">
        <v>0.158</v>
      </c>
      <c r="I24" s="12">
        <f t="shared" si="0"/>
        <v>2370</v>
      </c>
      <c r="J24" s="122"/>
    </row>
    <row r="25" spans="2:11" ht="18" customHeight="1" x14ac:dyDescent="0.25">
      <c r="B25" s="27" t="s">
        <v>122</v>
      </c>
      <c r="C25" s="27" t="s">
        <v>135</v>
      </c>
      <c r="D25" s="67" t="s">
        <v>354</v>
      </c>
      <c r="E25" s="27">
        <v>48677</v>
      </c>
      <c r="F25" s="27">
        <v>1966982</v>
      </c>
      <c r="G25" s="141">
        <v>11000</v>
      </c>
      <c r="H25" s="130">
        <v>0.2298</v>
      </c>
      <c r="I25" s="12">
        <f t="shared" si="0"/>
        <v>2527.8000000000002</v>
      </c>
    </row>
    <row r="26" spans="2:11" ht="18" customHeight="1" x14ac:dyDescent="0.25">
      <c r="B26" s="27" t="s">
        <v>168</v>
      </c>
      <c r="C26" s="27" t="s">
        <v>167</v>
      </c>
      <c r="D26" s="67" t="s">
        <v>354</v>
      </c>
      <c r="E26" s="27">
        <v>49000</v>
      </c>
      <c r="F26" s="27">
        <v>1979943</v>
      </c>
      <c r="G26" s="141">
        <v>10000</v>
      </c>
      <c r="H26" s="130">
        <v>0.14580000000000001</v>
      </c>
      <c r="I26" s="12">
        <f t="shared" si="0"/>
        <v>1458.0000000000002</v>
      </c>
    </row>
    <row r="27" spans="2:11" ht="18" customHeight="1" x14ac:dyDescent="0.25">
      <c r="B27" s="27" t="s">
        <v>219</v>
      </c>
      <c r="C27" s="27" t="s">
        <v>220</v>
      </c>
      <c r="D27" s="67" t="s">
        <v>354</v>
      </c>
      <c r="E27" s="27">
        <v>48934</v>
      </c>
      <c r="F27" s="27">
        <v>1977016</v>
      </c>
      <c r="G27" s="141">
        <v>9000</v>
      </c>
      <c r="H27" s="130">
        <v>0.18160000000000001</v>
      </c>
      <c r="I27" s="12">
        <f t="shared" si="0"/>
        <v>1634.4</v>
      </c>
    </row>
    <row r="28" spans="2:11" ht="18" customHeight="1" x14ac:dyDescent="0.25">
      <c r="B28" s="27" t="s">
        <v>97</v>
      </c>
      <c r="C28" s="27" t="s">
        <v>110</v>
      </c>
      <c r="D28" s="67" t="s">
        <v>354</v>
      </c>
      <c r="E28" s="27">
        <v>48840</v>
      </c>
      <c r="F28" s="27">
        <v>1972725</v>
      </c>
      <c r="G28" s="141">
        <v>8000</v>
      </c>
      <c r="H28" s="130">
        <v>0.15190000000000001</v>
      </c>
      <c r="I28" s="12">
        <f t="shared" si="0"/>
        <v>1215.2</v>
      </c>
    </row>
    <row r="29" spans="2:11" ht="18" customHeight="1" x14ac:dyDescent="0.25">
      <c r="B29" s="27" t="s">
        <v>96</v>
      </c>
      <c r="C29" s="27" t="s">
        <v>109</v>
      </c>
      <c r="D29" s="67" t="s">
        <v>354</v>
      </c>
      <c r="E29" s="27">
        <v>49244</v>
      </c>
      <c r="F29" s="27">
        <v>1987329</v>
      </c>
      <c r="G29" s="141">
        <v>7000</v>
      </c>
      <c r="H29" s="130">
        <v>0.1883</v>
      </c>
      <c r="I29" s="12">
        <f t="shared" si="0"/>
        <v>1318.1</v>
      </c>
    </row>
    <row r="30" spans="2:11" ht="18" customHeight="1" x14ac:dyDescent="0.25">
      <c r="B30" s="27" t="s">
        <v>275</v>
      </c>
      <c r="C30" s="27" t="s">
        <v>282</v>
      </c>
      <c r="D30" s="67" t="s">
        <v>354</v>
      </c>
      <c r="E30" s="168">
        <v>48946</v>
      </c>
      <c r="F30" s="168">
        <v>1972792</v>
      </c>
      <c r="G30" s="141">
        <v>4000</v>
      </c>
      <c r="H30" s="130">
        <v>0.20119999999999999</v>
      </c>
      <c r="I30" s="12">
        <f t="shared" si="0"/>
        <v>804.8</v>
      </c>
    </row>
    <row r="31" spans="2:11" ht="18" customHeight="1" x14ac:dyDescent="0.25">
      <c r="B31" s="27" t="s">
        <v>96</v>
      </c>
      <c r="C31" s="27" t="s">
        <v>109</v>
      </c>
      <c r="D31" s="67" t="s">
        <v>354</v>
      </c>
      <c r="E31" s="27">
        <v>49257</v>
      </c>
      <c r="F31" s="27">
        <v>1987847</v>
      </c>
      <c r="G31" s="141">
        <v>3000</v>
      </c>
      <c r="H31" s="130">
        <v>0.1883</v>
      </c>
      <c r="I31" s="12">
        <f t="shared" si="0"/>
        <v>564.9</v>
      </c>
      <c r="K31" s="144"/>
    </row>
    <row r="32" spans="2:11" ht="18" customHeight="1" x14ac:dyDescent="0.25">
      <c r="B32" s="27" t="s">
        <v>116</v>
      </c>
      <c r="C32" s="27" t="s">
        <v>107</v>
      </c>
      <c r="D32" s="67" t="s">
        <v>354</v>
      </c>
      <c r="E32" s="27">
        <v>49038</v>
      </c>
      <c r="F32" s="27">
        <v>1980291</v>
      </c>
      <c r="G32" s="141">
        <v>2100</v>
      </c>
      <c r="H32" s="130">
        <v>0.2571</v>
      </c>
      <c r="I32" s="12">
        <f t="shared" si="0"/>
        <v>539.91</v>
      </c>
    </row>
    <row r="33" spans="2:9" ht="18" customHeight="1" x14ac:dyDescent="0.25">
      <c r="B33" s="27" t="s">
        <v>346</v>
      </c>
      <c r="C33" s="27" t="s">
        <v>351</v>
      </c>
      <c r="D33" s="67" t="s">
        <v>354</v>
      </c>
      <c r="E33" s="27">
        <v>48870</v>
      </c>
      <c r="F33" s="27">
        <v>1973998</v>
      </c>
      <c r="G33" s="141">
        <v>2000</v>
      </c>
      <c r="H33" s="130">
        <v>0.25969999999999999</v>
      </c>
      <c r="I33" s="12">
        <f t="shared" ref="I33" si="1">G33*H33</f>
        <v>519.4</v>
      </c>
    </row>
    <row r="34" spans="2:9" ht="18" customHeight="1" x14ac:dyDescent="0.25">
      <c r="B34" s="27" t="s">
        <v>348</v>
      </c>
      <c r="C34" s="27" t="s">
        <v>349</v>
      </c>
      <c r="D34" s="67" t="s">
        <v>354</v>
      </c>
      <c r="E34" s="27">
        <v>48988</v>
      </c>
      <c r="F34" s="27">
        <v>1979548</v>
      </c>
      <c r="G34" s="141">
        <v>1000</v>
      </c>
      <c r="H34" s="130">
        <v>0.23219999999999999</v>
      </c>
      <c r="I34" s="12">
        <f t="shared" si="0"/>
        <v>232.2</v>
      </c>
    </row>
    <row r="35" spans="2:9" ht="18" customHeight="1" x14ac:dyDescent="0.25">
      <c r="B35" s="27" t="s">
        <v>347</v>
      </c>
      <c r="C35" s="27" t="s">
        <v>350</v>
      </c>
      <c r="D35" s="67" t="s">
        <v>354</v>
      </c>
      <c r="E35" s="27">
        <v>49060</v>
      </c>
      <c r="F35" s="27">
        <v>1981154</v>
      </c>
      <c r="G35" s="141">
        <v>1000</v>
      </c>
      <c r="H35" s="130">
        <v>0.14899999999999999</v>
      </c>
      <c r="I35" s="12">
        <f t="shared" si="0"/>
        <v>149</v>
      </c>
    </row>
    <row r="36" spans="2:9" ht="18" customHeight="1" thickBot="1" x14ac:dyDescent="0.3">
      <c r="B36" s="88" t="s">
        <v>345</v>
      </c>
      <c r="C36" s="88" t="s">
        <v>352</v>
      </c>
      <c r="D36" s="8" t="s">
        <v>354</v>
      </c>
      <c r="E36" s="88">
        <v>49037</v>
      </c>
      <c r="F36" s="88">
        <v>1980282</v>
      </c>
      <c r="G36" s="143">
        <v>600</v>
      </c>
      <c r="H36" s="131">
        <v>0.25679999999999997</v>
      </c>
      <c r="I36" s="7">
        <f t="shared" si="0"/>
        <v>154.07999999999998</v>
      </c>
    </row>
    <row r="37" spans="2:9" ht="15.75" x14ac:dyDescent="0.25">
      <c r="B37" s="16" t="s">
        <v>3</v>
      </c>
      <c r="C37" s="15"/>
      <c r="D37" s="15"/>
      <c r="E37" s="15"/>
      <c r="F37" s="15"/>
      <c r="G37" s="14"/>
      <c r="H37" s="29">
        <v>800</v>
      </c>
      <c r="I37" s="64">
        <v>800</v>
      </c>
    </row>
    <row r="38" spans="2:9" ht="15.75" x14ac:dyDescent="0.25">
      <c r="B38" s="16" t="s">
        <v>2</v>
      </c>
      <c r="C38" s="15"/>
      <c r="D38" s="15"/>
      <c r="E38" s="15"/>
      <c r="F38" s="15"/>
      <c r="G38" s="14"/>
      <c r="H38" s="13">
        <v>250</v>
      </c>
      <c r="I38" s="12">
        <v>250</v>
      </c>
    </row>
    <row r="39" spans="2:9" ht="16.5" thickBot="1" x14ac:dyDescent="0.3">
      <c r="B39" s="11" t="s">
        <v>1</v>
      </c>
      <c r="C39" s="10"/>
      <c r="D39" s="10"/>
      <c r="E39" s="10"/>
      <c r="F39" s="10"/>
      <c r="G39" s="9"/>
      <c r="H39" s="8">
        <v>450</v>
      </c>
      <c r="I39" s="7">
        <v>450</v>
      </c>
    </row>
    <row r="40" spans="2:9" ht="15.75" thickBot="1" x14ac:dyDescent="0.3">
      <c r="B40" s="164" t="s">
        <v>0</v>
      </c>
      <c r="C40" s="165"/>
      <c r="D40" s="165"/>
      <c r="E40" s="165"/>
      <c r="F40" s="165"/>
      <c r="G40" s="165"/>
      <c r="H40" s="165"/>
      <c r="I40" s="166"/>
    </row>
    <row r="41" spans="2:9" ht="29.25" thickBot="1" x14ac:dyDescent="0.5">
      <c r="B41" s="146"/>
      <c r="C41" s="147"/>
      <c r="D41" s="147"/>
      <c r="E41" s="147"/>
      <c r="F41" s="148"/>
      <c r="G41" s="83">
        <f>SUM(G16:G36)</f>
        <v>474600</v>
      </c>
      <c r="H41" s="82"/>
      <c r="I41" s="81">
        <f>SUM(I16:I39)</f>
        <v>71012.189999999988</v>
      </c>
    </row>
    <row r="43" spans="2:9" x14ac:dyDescent="0.2">
      <c r="D43" s="3"/>
      <c r="G43" s="122"/>
      <c r="I43" s="3"/>
    </row>
    <row r="46" spans="2:9" x14ac:dyDescent="0.2">
      <c r="I46" s="3"/>
    </row>
    <row r="47" spans="2:9" x14ac:dyDescent="0.2">
      <c r="D47" s="2"/>
    </row>
    <row r="48" spans="2:9" x14ac:dyDescent="0.2">
      <c r="G48" s="145"/>
    </row>
    <row r="50" spans="7:7" x14ac:dyDescent="0.2">
      <c r="G50" s="145"/>
    </row>
  </sheetData>
  <mergeCells count="7">
    <mergeCell ref="B41:F41"/>
    <mergeCell ref="A1:I1"/>
    <mergeCell ref="A2:B3"/>
    <mergeCell ref="C2:G3"/>
    <mergeCell ref="B13:C13"/>
    <mergeCell ref="H13:I13"/>
    <mergeCell ref="B40:I40"/>
  </mergeCells>
  <phoneticPr fontId="27" type="noConversion"/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DD53-E2C6-47EF-BC2B-D9217D5DE273}">
  <sheetPr>
    <pageSetUpPr fitToPage="1"/>
  </sheetPr>
  <dimension ref="A1:K49"/>
  <sheetViews>
    <sheetView topLeftCell="A23" zoomScale="121" zoomScaleNormal="121" workbookViewId="0">
      <selection activeCell="E18" sqref="E18:H18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335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334</v>
      </c>
      <c r="C13" s="162"/>
      <c r="D13" s="42"/>
      <c r="E13" s="41"/>
      <c r="F13" s="41"/>
      <c r="G13" s="41"/>
      <c r="H13" s="163" t="s">
        <v>336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140" t="s">
        <v>31</v>
      </c>
      <c r="E15" s="39" t="s">
        <v>30</v>
      </c>
      <c r="F15" s="39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8" t="s">
        <v>25</v>
      </c>
      <c r="C16" s="138" t="s">
        <v>24</v>
      </c>
      <c r="D16" s="133" t="s">
        <v>338</v>
      </c>
      <c r="E16" s="109">
        <v>49109</v>
      </c>
      <c r="F16" s="109">
        <v>1982780</v>
      </c>
      <c r="G16" s="142">
        <v>100000</v>
      </c>
      <c r="H16" s="135">
        <v>9.1200000000000003E-2</v>
      </c>
      <c r="I16" s="136">
        <f t="shared" ref="I16:I35" si="0">G16*H16</f>
        <v>9120</v>
      </c>
    </row>
    <row r="17" spans="2:11" ht="18" customHeight="1" x14ac:dyDescent="0.25">
      <c r="B17" s="27" t="s">
        <v>101</v>
      </c>
      <c r="C17" s="27" t="s">
        <v>114</v>
      </c>
      <c r="D17" s="67" t="s">
        <v>338</v>
      </c>
      <c r="E17" s="27">
        <v>48099</v>
      </c>
      <c r="F17" s="27">
        <v>1948645</v>
      </c>
      <c r="G17" s="141">
        <v>80000</v>
      </c>
      <c r="H17" s="130">
        <v>0.13800000000000001</v>
      </c>
      <c r="I17" s="12">
        <f t="shared" si="0"/>
        <v>11040.000000000002</v>
      </c>
    </row>
    <row r="18" spans="2:11" ht="18" customHeight="1" x14ac:dyDescent="0.25">
      <c r="B18" s="27" t="s">
        <v>60</v>
      </c>
      <c r="C18" s="32" t="s">
        <v>72</v>
      </c>
      <c r="D18" s="67" t="s">
        <v>337</v>
      </c>
      <c r="E18" s="27">
        <v>48325</v>
      </c>
      <c r="F18" s="27">
        <v>1956021</v>
      </c>
      <c r="G18" s="141">
        <v>57000</v>
      </c>
      <c r="H18" s="130">
        <v>0.14990000000000001</v>
      </c>
      <c r="I18" s="12">
        <f t="shared" si="0"/>
        <v>8544.3000000000011</v>
      </c>
    </row>
    <row r="19" spans="2:11" ht="18" customHeight="1" x14ac:dyDescent="0.25">
      <c r="B19" s="27" t="s">
        <v>216</v>
      </c>
      <c r="C19" s="32" t="s">
        <v>20</v>
      </c>
      <c r="D19" s="67" t="s">
        <v>337</v>
      </c>
      <c r="E19" s="27">
        <v>48316</v>
      </c>
      <c r="F19" s="27">
        <v>1955933</v>
      </c>
      <c r="G19" s="141">
        <v>48500</v>
      </c>
      <c r="H19" s="130">
        <v>0.17480000000000001</v>
      </c>
      <c r="I19" s="12">
        <f t="shared" si="0"/>
        <v>8477.8000000000011</v>
      </c>
    </row>
    <row r="20" spans="2:11" ht="18" customHeight="1" x14ac:dyDescent="0.25">
      <c r="B20" s="27" t="s">
        <v>91</v>
      </c>
      <c r="C20" s="32" t="s">
        <v>103</v>
      </c>
      <c r="D20" s="67" t="s">
        <v>338</v>
      </c>
      <c r="E20" s="27">
        <v>49095</v>
      </c>
      <c r="F20" s="27">
        <v>1982659</v>
      </c>
      <c r="G20" s="141">
        <v>38200</v>
      </c>
      <c r="H20" s="130">
        <v>8.1299999999999997E-2</v>
      </c>
      <c r="I20" s="12">
        <f t="shared" si="0"/>
        <v>3105.66</v>
      </c>
    </row>
    <row r="21" spans="2:11" ht="18" customHeight="1" x14ac:dyDescent="0.25">
      <c r="B21" s="27" t="s">
        <v>14</v>
      </c>
      <c r="C21" s="27" t="s">
        <v>13</v>
      </c>
      <c r="D21" s="67" t="s">
        <v>337</v>
      </c>
      <c r="E21" s="27">
        <v>48810</v>
      </c>
      <c r="F21" s="27">
        <v>1971765</v>
      </c>
      <c r="G21" s="141">
        <v>36000</v>
      </c>
      <c r="H21" s="130">
        <v>0.17519999999999999</v>
      </c>
      <c r="I21" s="12">
        <f t="shared" si="0"/>
        <v>6307.2</v>
      </c>
    </row>
    <row r="22" spans="2:11" ht="18" customHeight="1" x14ac:dyDescent="0.25">
      <c r="B22" s="27" t="s">
        <v>14</v>
      </c>
      <c r="C22" s="27" t="s">
        <v>13</v>
      </c>
      <c r="D22" s="67" t="s">
        <v>337</v>
      </c>
      <c r="E22" s="27">
        <v>48809</v>
      </c>
      <c r="F22" s="27">
        <v>1971757</v>
      </c>
      <c r="G22" s="141">
        <v>36000</v>
      </c>
      <c r="H22" s="130">
        <v>0.17519999999999999</v>
      </c>
      <c r="I22" s="12">
        <f t="shared" si="0"/>
        <v>6307.2</v>
      </c>
    </row>
    <row r="23" spans="2:11" ht="18" customHeight="1" x14ac:dyDescent="0.25">
      <c r="B23" s="27" t="s">
        <v>14</v>
      </c>
      <c r="C23" s="27" t="s">
        <v>13</v>
      </c>
      <c r="D23" s="67" t="s">
        <v>337</v>
      </c>
      <c r="E23" s="27">
        <v>48808</v>
      </c>
      <c r="F23" s="27">
        <v>1971749</v>
      </c>
      <c r="G23" s="141">
        <v>24000</v>
      </c>
      <c r="H23" s="130">
        <v>0.17519999999999999</v>
      </c>
      <c r="I23" s="12">
        <f t="shared" si="0"/>
        <v>4204.8</v>
      </c>
      <c r="J23" s="122"/>
    </row>
    <row r="24" spans="2:11" ht="18" customHeight="1" x14ac:dyDescent="0.25">
      <c r="B24" s="27" t="s">
        <v>143</v>
      </c>
      <c r="C24" s="27" t="s">
        <v>145</v>
      </c>
      <c r="D24" s="67" t="s">
        <v>337</v>
      </c>
      <c r="E24" s="27">
        <v>48749</v>
      </c>
      <c r="F24" s="27">
        <v>1970130</v>
      </c>
      <c r="G24" s="141">
        <v>16000</v>
      </c>
      <c r="H24" s="130">
        <v>0.15679999999999999</v>
      </c>
      <c r="I24" s="12">
        <f t="shared" si="0"/>
        <v>2508.7999999999997</v>
      </c>
    </row>
    <row r="25" spans="2:11" ht="18" customHeight="1" x14ac:dyDescent="0.25">
      <c r="B25" s="27" t="s">
        <v>275</v>
      </c>
      <c r="C25" s="27" t="s">
        <v>282</v>
      </c>
      <c r="D25" s="67" t="s">
        <v>337</v>
      </c>
      <c r="E25" s="27">
        <v>48947</v>
      </c>
      <c r="F25" s="27">
        <v>1977260</v>
      </c>
      <c r="G25" s="141">
        <v>14000</v>
      </c>
      <c r="H25" s="130">
        <v>0.20119999999999999</v>
      </c>
      <c r="I25" s="12">
        <f t="shared" si="0"/>
        <v>2816.7999999999997</v>
      </c>
    </row>
    <row r="26" spans="2:11" ht="18" customHeight="1" x14ac:dyDescent="0.25">
      <c r="B26" s="27" t="s">
        <v>92</v>
      </c>
      <c r="C26" s="27" t="s">
        <v>104</v>
      </c>
      <c r="D26" s="67" t="s">
        <v>337</v>
      </c>
      <c r="E26" s="27">
        <v>48895</v>
      </c>
      <c r="F26" s="27">
        <v>1975248</v>
      </c>
      <c r="G26" s="141">
        <v>12000</v>
      </c>
      <c r="H26" s="130">
        <v>0.1694</v>
      </c>
      <c r="I26" s="12">
        <f t="shared" si="0"/>
        <v>2032.8</v>
      </c>
    </row>
    <row r="27" spans="2:11" ht="18" customHeight="1" x14ac:dyDescent="0.25">
      <c r="B27" s="27" t="s">
        <v>169</v>
      </c>
      <c r="C27" s="27" t="s">
        <v>166</v>
      </c>
      <c r="D27" s="67" t="s">
        <v>337</v>
      </c>
      <c r="E27" s="27">
        <v>48938</v>
      </c>
      <c r="F27" s="27">
        <v>1976865</v>
      </c>
      <c r="G27" s="141">
        <v>12000</v>
      </c>
      <c r="H27" s="130">
        <v>0.1477</v>
      </c>
      <c r="I27" s="12">
        <f t="shared" si="0"/>
        <v>1772.3999999999999</v>
      </c>
    </row>
    <row r="28" spans="2:11" ht="18" customHeight="1" x14ac:dyDescent="0.25">
      <c r="B28" s="27" t="s">
        <v>97</v>
      </c>
      <c r="C28" s="27" t="s">
        <v>110</v>
      </c>
      <c r="D28" s="67" t="s">
        <v>337</v>
      </c>
      <c r="E28" s="27">
        <v>48840</v>
      </c>
      <c r="F28" s="27">
        <v>1972725</v>
      </c>
      <c r="G28" s="141">
        <v>12000</v>
      </c>
      <c r="H28" s="130">
        <v>0.15190000000000001</v>
      </c>
      <c r="I28" s="12">
        <f t="shared" ref="I28:I30" si="1">G28*H28</f>
        <v>1822.8000000000002</v>
      </c>
    </row>
    <row r="29" spans="2:11" ht="18" customHeight="1" x14ac:dyDescent="0.25">
      <c r="B29" s="27" t="s">
        <v>339</v>
      </c>
      <c r="C29" s="27" t="s">
        <v>340</v>
      </c>
      <c r="D29" s="67" t="s">
        <v>337</v>
      </c>
      <c r="E29" s="27">
        <v>48953</v>
      </c>
      <c r="F29" s="27">
        <v>1977315</v>
      </c>
      <c r="G29" s="141">
        <v>11000</v>
      </c>
      <c r="H29" s="130">
        <v>0.2014</v>
      </c>
      <c r="I29" s="12">
        <f t="shared" si="1"/>
        <v>2215.4</v>
      </c>
    </row>
    <row r="30" spans="2:11" ht="18" customHeight="1" x14ac:dyDescent="0.25">
      <c r="B30" s="27" t="s">
        <v>168</v>
      </c>
      <c r="C30" s="27" t="s">
        <v>167</v>
      </c>
      <c r="D30" s="67" t="s">
        <v>337</v>
      </c>
      <c r="E30" s="27">
        <v>49000</v>
      </c>
      <c r="F30" s="27">
        <v>1979943</v>
      </c>
      <c r="G30" s="141">
        <v>10000</v>
      </c>
      <c r="H30" s="130">
        <v>0.14580000000000001</v>
      </c>
      <c r="I30" s="12">
        <f t="shared" si="1"/>
        <v>1458.0000000000002</v>
      </c>
      <c r="K30" s="144"/>
    </row>
    <row r="31" spans="2:11" ht="18" customHeight="1" x14ac:dyDescent="0.25">
      <c r="B31" s="27" t="s">
        <v>92</v>
      </c>
      <c r="C31" s="27" t="s">
        <v>104</v>
      </c>
      <c r="D31" s="67" t="s">
        <v>337</v>
      </c>
      <c r="E31" s="27">
        <v>49234</v>
      </c>
      <c r="F31" s="27">
        <v>1987222</v>
      </c>
      <c r="G31" s="141">
        <v>8000</v>
      </c>
      <c r="H31" s="130">
        <v>0.1694</v>
      </c>
      <c r="I31" s="12">
        <f t="shared" ref="I31" si="2">G31*H31</f>
        <v>1355.2</v>
      </c>
    </row>
    <row r="32" spans="2:11" ht="18" customHeight="1" x14ac:dyDescent="0.25">
      <c r="B32" s="27" t="s">
        <v>275</v>
      </c>
      <c r="C32" s="27" t="s">
        <v>282</v>
      </c>
      <c r="D32" s="67" t="s">
        <v>337</v>
      </c>
      <c r="E32" s="27">
        <v>48846</v>
      </c>
      <c r="F32" s="27">
        <v>1972792</v>
      </c>
      <c r="G32" s="141">
        <v>7000</v>
      </c>
      <c r="H32" s="130">
        <v>0.20119999999999999</v>
      </c>
      <c r="I32" s="12">
        <f t="shared" si="0"/>
        <v>1408.3999999999999</v>
      </c>
    </row>
    <row r="33" spans="2:10" ht="18" customHeight="1" x14ac:dyDescent="0.25">
      <c r="B33" s="27" t="s">
        <v>316</v>
      </c>
      <c r="C33" s="27" t="s">
        <v>319</v>
      </c>
      <c r="D33" s="67" t="s">
        <v>337</v>
      </c>
      <c r="E33" s="27">
        <v>49258</v>
      </c>
      <c r="F33" s="27">
        <v>1987855</v>
      </c>
      <c r="G33" s="141">
        <v>2000</v>
      </c>
      <c r="H33" s="130">
        <v>0.1623</v>
      </c>
      <c r="I33" s="12">
        <f t="shared" si="0"/>
        <v>324.60000000000002</v>
      </c>
    </row>
    <row r="34" spans="2:10" ht="18" customHeight="1" x14ac:dyDescent="0.25">
      <c r="B34" s="27" t="s">
        <v>231</v>
      </c>
      <c r="C34" s="27" t="s">
        <v>233</v>
      </c>
      <c r="D34" s="67" t="s">
        <v>337</v>
      </c>
      <c r="E34" s="27">
        <v>49230</v>
      </c>
      <c r="F34" s="27">
        <v>1987011</v>
      </c>
      <c r="G34" s="141">
        <v>1200</v>
      </c>
      <c r="H34" s="130">
        <v>0.1804</v>
      </c>
      <c r="I34" s="12">
        <f t="shared" si="0"/>
        <v>216.48000000000002</v>
      </c>
      <c r="J34" s="121"/>
    </row>
    <row r="35" spans="2:10" ht="18" customHeight="1" thickBot="1" x14ac:dyDescent="0.3">
      <c r="B35" s="88" t="s">
        <v>288</v>
      </c>
      <c r="C35" s="88" t="s">
        <v>292</v>
      </c>
      <c r="D35" s="8" t="s">
        <v>337</v>
      </c>
      <c r="E35" s="88">
        <v>48936</v>
      </c>
      <c r="F35" s="88">
        <v>1977032</v>
      </c>
      <c r="G35" s="143">
        <v>1000</v>
      </c>
      <c r="H35" s="131">
        <v>0.21529999999999999</v>
      </c>
      <c r="I35" s="7">
        <f t="shared" si="0"/>
        <v>215.29999999999998</v>
      </c>
    </row>
    <row r="36" spans="2:10" ht="15.75" x14ac:dyDescent="0.25">
      <c r="B36" s="16" t="s">
        <v>3</v>
      </c>
      <c r="C36" s="15"/>
      <c r="D36" s="15"/>
      <c r="E36" s="15"/>
      <c r="F36" s="15"/>
      <c r="G36" s="14"/>
      <c r="H36" s="29">
        <v>800</v>
      </c>
      <c r="I36" s="64">
        <v>800</v>
      </c>
    </row>
    <row r="37" spans="2:10" ht="15.75" x14ac:dyDescent="0.25">
      <c r="B37" s="16" t="s">
        <v>2</v>
      </c>
      <c r="C37" s="15"/>
      <c r="D37" s="15"/>
      <c r="E37" s="15"/>
      <c r="F37" s="15"/>
      <c r="G37" s="14"/>
      <c r="H37" s="13">
        <v>250</v>
      </c>
      <c r="I37" s="12">
        <v>250</v>
      </c>
    </row>
    <row r="38" spans="2:10" ht="16.5" thickBot="1" x14ac:dyDescent="0.3">
      <c r="B38" s="11" t="s">
        <v>1</v>
      </c>
      <c r="C38" s="10"/>
      <c r="D38" s="10"/>
      <c r="E38" s="10"/>
      <c r="F38" s="10"/>
      <c r="G38" s="9"/>
      <c r="H38" s="8">
        <v>450</v>
      </c>
      <c r="I38" s="7">
        <v>450</v>
      </c>
    </row>
    <row r="39" spans="2:10" ht="15.75" thickBot="1" x14ac:dyDescent="0.3">
      <c r="B39" s="164" t="s">
        <v>0</v>
      </c>
      <c r="C39" s="165"/>
      <c r="D39" s="165"/>
      <c r="E39" s="165"/>
      <c r="F39" s="165"/>
      <c r="G39" s="165"/>
      <c r="H39" s="165"/>
      <c r="I39" s="166"/>
    </row>
    <row r="40" spans="2:10" ht="29.25" thickBot="1" x14ac:dyDescent="0.5">
      <c r="B40" s="146"/>
      <c r="C40" s="147"/>
      <c r="D40" s="147"/>
      <c r="E40" s="147"/>
      <c r="F40" s="148"/>
      <c r="G40" s="83">
        <f>SUM(G16:G35)</f>
        <v>525900</v>
      </c>
      <c r="H40" s="82"/>
      <c r="I40" s="81">
        <f>SUM(I16:I38)</f>
        <v>76753.94</v>
      </c>
    </row>
    <row r="42" spans="2:10" x14ac:dyDescent="0.2">
      <c r="D42" s="3"/>
      <c r="G42" s="122"/>
      <c r="I42" s="3"/>
    </row>
    <row r="45" spans="2:10" x14ac:dyDescent="0.2">
      <c r="G45" s="1">
        <v>33497</v>
      </c>
      <c r="I45" s="3"/>
    </row>
    <row r="46" spans="2:10" x14ac:dyDescent="0.2">
      <c r="D46" s="2"/>
      <c r="G46" s="1">
        <v>36000</v>
      </c>
    </row>
    <row r="47" spans="2:10" x14ac:dyDescent="0.2">
      <c r="G47" s="145">
        <f>G46-G45</f>
        <v>2503</v>
      </c>
    </row>
    <row r="48" spans="2:10" x14ac:dyDescent="0.2">
      <c r="G48" s="1">
        <v>34644</v>
      </c>
    </row>
    <row r="49" spans="7:7" x14ac:dyDescent="0.2">
      <c r="G49" s="145">
        <f>G48-G45</f>
        <v>1147</v>
      </c>
    </row>
  </sheetData>
  <mergeCells count="7">
    <mergeCell ref="B40:F40"/>
    <mergeCell ref="A1:I1"/>
    <mergeCell ref="A2:B3"/>
    <mergeCell ref="C2:G3"/>
    <mergeCell ref="B13:C13"/>
    <mergeCell ref="H13:I13"/>
    <mergeCell ref="B39:I39"/>
  </mergeCells>
  <phoneticPr fontId="27" type="noConversion"/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6B3B-A4DB-4382-8A6A-11ABE0F71750}">
  <sheetPr>
    <pageSetUpPr fitToPage="1"/>
  </sheetPr>
  <dimension ref="A1:J49"/>
  <sheetViews>
    <sheetView topLeftCell="C31" zoomScale="121" zoomScaleNormal="121" workbookViewId="0">
      <selection activeCell="D47" sqref="D47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322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323</v>
      </c>
      <c r="C13" s="162"/>
      <c r="D13" s="42"/>
      <c r="E13" s="41"/>
      <c r="F13" s="41"/>
      <c r="G13" s="41"/>
      <c r="H13" s="163" t="s">
        <v>333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140" t="s">
        <v>31</v>
      </c>
      <c r="E15" s="39" t="s">
        <v>30</v>
      </c>
      <c r="F15" s="39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2" t="s">
        <v>25</v>
      </c>
      <c r="C16" s="138" t="s">
        <v>24</v>
      </c>
      <c r="D16" s="133" t="s">
        <v>324</v>
      </c>
      <c r="E16" s="109">
        <v>49108</v>
      </c>
      <c r="F16" s="109">
        <v>1982771</v>
      </c>
      <c r="G16" s="142">
        <v>100000</v>
      </c>
      <c r="H16" s="135">
        <v>9.1200000000000003E-2</v>
      </c>
      <c r="I16" s="136">
        <f t="shared" ref="I16:I38" si="0">G16*H16</f>
        <v>9120</v>
      </c>
    </row>
    <row r="17" spans="2:10" ht="18" customHeight="1" x14ac:dyDescent="0.25">
      <c r="B17" s="124" t="s">
        <v>19</v>
      </c>
      <c r="C17" s="27" t="s">
        <v>18</v>
      </c>
      <c r="D17" s="67" t="s">
        <v>325</v>
      </c>
      <c r="E17" s="27">
        <v>48320</v>
      </c>
      <c r="F17" s="27">
        <v>1955976</v>
      </c>
      <c r="G17" s="141">
        <v>75000</v>
      </c>
      <c r="H17" s="130">
        <v>0.16830000000000001</v>
      </c>
      <c r="I17" s="12">
        <f t="shared" ref="I17" si="1">G17*H17</f>
        <v>12622.5</v>
      </c>
    </row>
    <row r="18" spans="2:10" ht="18" customHeight="1" x14ac:dyDescent="0.25">
      <c r="B18" s="124" t="s">
        <v>23</v>
      </c>
      <c r="C18" s="27" t="s">
        <v>22</v>
      </c>
      <c r="D18" s="67" t="s">
        <v>324</v>
      </c>
      <c r="E18" s="27">
        <v>49031</v>
      </c>
      <c r="F18" s="27">
        <v>1980223</v>
      </c>
      <c r="G18" s="141">
        <v>73000</v>
      </c>
      <c r="H18" s="130">
        <v>0.13800000000000001</v>
      </c>
      <c r="I18" s="12">
        <f t="shared" si="0"/>
        <v>10074</v>
      </c>
    </row>
    <row r="19" spans="2:10" ht="18" customHeight="1" x14ac:dyDescent="0.25">
      <c r="B19" s="124" t="s">
        <v>91</v>
      </c>
      <c r="C19" s="27" t="s">
        <v>103</v>
      </c>
      <c r="D19" s="67" t="s">
        <v>325</v>
      </c>
      <c r="E19" s="27">
        <v>49095</v>
      </c>
      <c r="F19" s="27">
        <v>1982659</v>
      </c>
      <c r="G19" s="141">
        <v>61800</v>
      </c>
      <c r="H19" s="130">
        <v>8.1299999999999997E-2</v>
      </c>
      <c r="I19" s="12">
        <f t="shared" si="0"/>
        <v>5024.34</v>
      </c>
    </row>
    <row r="20" spans="2:10" ht="18" customHeight="1" x14ac:dyDescent="0.25">
      <c r="B20" s="124" t="s">
        <v>14</v>
      </c>
      <c r="C20" s="27" t="s">
        <v>13</v>
      </c>
      <c r="D20" s="67" t="s">
        <v>325</v>
      </c>
      <c r="E20" s="27">
        <v>48806</v>
      </c>
      <c r="F20" s="27">
        <v>1971722</v>
      </c>
      <c r="G20" s="141">
        <v>36000</v>
      </c>
      <c r="H20" s="130">
        <v>0.17519999999999999</v>
      </c>
      <c r="I20" s="12">
        <f t="shared" si="0"/>
        <v>6307.2</v>
      </c>
    </row>
    <row r="21" spans="2:10" ht="18" customHeight="1" x14ac:dyDescent="0.25">
      <c r="B21" s="124" t="s">
        <v>14</v>
      </c>
      <c r="C21" s="27" t="s">
        <v>13</v>
      </c>
      <c r="D21" s="67" t="s">
        <v>325</v>
      </c>
      <c r="E21" s="27">
        <v>48807</v>
      </c>
      <c r="F21" s="27">
        <v>1971731</v>
      </c>
      <c r="G21" s="141">
        <v>36000</v>
      </c>
      <c r="H21" s="130">
        <v>0.17519999999999999</v>
      </c>
      <c r="I21" s="12">
        <f t="shared" si="0"/>
        <v>6307.2</v>
      </c>
    </row>
    <row r="22" spans="2:10" ht="18" customHeight="1" x14ac:dyDescent="0.25">
      <c r="B22" s="124" t="s">
        <v>61</v>
      </c>
      <c r="C22" s="27" t="s">
        <v>73</v>
      </c>
      <c r="D22" s="67" t="s">
        <v>325</v>
      </c>
      <c r="E22" s="27">
        <v>48382</v>
      </c>
      <c r="F22" s="27">
        <v>1958430</v>
      </c>
      <c r="G22" s="141">
        <v>20000</v>
      </c>
      <c r="H22" s="130">
        <v>0.2276</v>
      </c>
      <c r="I22" s="12">
        <f t="shared" si="0"/>
        <v>4552</v>
      </c>
    </row>
    <row r="23" spans="2:10" ht="18" customHeight="1" x14ac:dyDescent="0.25">
      <c r="B23" s="124" t="s">
        <v>122</v>
      </c>
      <c r="C23" s="27" t="s">
        <v>135</v>
      </c>
      <c r="D23" s="67" t="s">
        <v>325</v>
      </c>
      <c r="E23" s="27">
        <v>48676</v>
      </c>
      <c r="F23" s="27">
        <v>1966974</v>
      </c>
      <c r="G23" s="141">
        <v>20000</v>
      </c>
      <c r="H23" s="130">
        <v>0.2298</v>
      </c>
      <c r="I23" s="12">
        <f t="shared" si="0"/>
        <v>4596</v>
      </c>
      <c r="J23" s="122"/>
    </row>
    <row r="24" spans="2:10" ht="18" customHeight="1" x14ac:dyDescent="0.25">
      <c r="B24" s="124" t="s">
        <v>101</v>
      </c>
      <c r="C24" s="27" t="s">
        <v>114</v>
      </c>
      <c r="D24" s="67" t="s">
        <v>324</v>
      </c>
      <c r="E24" s="27">
        <v>48099</v>
      </c>
      <c r="F24" s="27">
        <v>1948645</v>
      </c>
      <c r="G24" s="141">
        <v>20000</v>
      </c>
      <c r="H24" s="130">
        <v>0.13800000000000001</v>
      </c>
      <c r="I24" s="12">
        <f t="shared" si="0"/>
        <v>2760.0000000000005</v>
      </c>
      <c r="J24" s="122"/>
    </row>
    <row r="25" spans="2:10" ht="18" customHeight="1" x14ac:dyDescent="0.25">
      <c r="B25" s="124" t="s">
        <v>174</v>
      </c>
      <c r="C25" s="27" t="s">
        <v>179</v>
      </c>
      <c r="D25" s="67" t="s">
        <v>325</v>
      </c>
      <c r="E25" s="27">
        <v>49022</v>
      </c>
      <c r="F25" s="27">
        <v>1980178</v>
      </c>
      <c r="G25" s="141">
        <v>15000</v>
      </c>
      <c r="H25" s="130">
        <v>0.21110000000000001</v>
      </c>
      <c r="I25" s="12">
        <f t="shared" si="0"/>
        <v>3166.5</v>
      </c>
    </row>
    <row r="26" spans="2:10" ht="18" customHeight="1" x14ac:dyDescent="0.25">
      <c r="B26" s="124" t="s">
        <v>92</v>
      </c>
      <c r="C26" s="27" t="s">
        <v>104</v>
      </c>
      <c r="D26" s="67" t="s">
        <v>325</v>
      </c>
      <c r="E26" s="27">
        <v>49234</v>
      </c>
      <c r="F26" s="27">
        <v>1987222</v>
      </c>
      <c r="G26" s="141">
        <v>12000</v>
      </c>
      <c r="H26" s="130">
        <v>0.1694</v>
      </c>
      <c r="I26" s="12">
        <f t="shared" si="0"/>
        <v>2032.8</v>
      </c>
    </row>
    <row r="27" spans="2:10" ht="18" customHeight="1" x14ac:dyDescent="0.25">
      <c r="B27" s="124" t="s">
        <v>14</v>
      </c>
      <c r="C27" s="27" t="s">
        <v>13</v>
      </c>
      <c r="D27" s="67" t="s">
        <v>325</v>
      </c>
      <c r="E27" s="27">
        <v>48805</v>
      </c>
      <c r="F27" s="27">
        <v>1971714</v>
      </c>
      <c r="G27" s="141">
        <v>12000</v>
      </c>
      <c r="H27" s="130">
        <v>0.17519999999999999</v>
      </c>
      <c r="I27" s="12">
        <f t="shared" si="0"/>
        <v>2102.4</v>
      </c>
    </row>
    <row r="28" spans="2:10" ht="18" customHeight="1" x14ac:dyDescent="0.25">
      <c r="B28" s="124" t="s">
        <v>14</v>
      </c>
      <c r="C28" s="27" t="s">
        <v>13</v>
      </c>
      <c r="D28" s="67" t="s">
        <v>325</v>
      </c>
      <c r="E28" s="27">
        <v>48808</v>
      </c>
      <c r="F28" s="27">
        <v>1971749</v>
      </c>
      <c r="G28" s="141">
        <v>12000</v>
      </c>
      <c r="H28" s="130">
        <v>0.17519999999999999</v>
      </c>
      <c r="I28" s="12">
        <f t="shared" si="0"/>
        <v>2102.4</v>
      </c>
    </row>
    <row r="29" spans="2:10" ht="18" customHeight="1" x14ac:dyDescent="0.25">
      <c r="B29" s="124" t="s">
        <v>169</v>
      </c>
      <c r="C29" s="27" t="s">
        <v>166</v>
      </c>
      <c r="D29" s="67" t="s">
        <v>325</v>
      </c>
      <c r="E29" s="27">
        <v>48652</v>
      </c>
      <c r="F29" s="27">
        <v>1966712</v>
      </c>
      <c r="G29" s="141">
        <v>12000</v>
      </c>
      <c r="H29" s="130">
        <v>0.1477</v>
      </c>
      <c r="I29" s="12">
        <f t="shared" si="0"/>
        <v>1772.3999999999999</v>
      </c>
    </row>
    <row r="30" spans="2:10" ht="18" customHeight="1" x14ac:dyDescent="0.25">
      <c r="B30" s="124" t="s">
        <v>143</v>
      </c>
      <c r="C30" s="27" t="s">
        <v>145</v>
      </c>
      <c r="D30" s="67" t="s">
        <v>325</v>
      </c>
      <c r="E30" s="27">
        <v>48749</v>
      </c>
      <c r="F30" s="27">
        <v>1970130</v>
      </c>
      <c r="G30" s="141">
        <v>4000</v>
      </c>
      <c r="H30" s="130">
        <v>0.15679999999999999</v>
      </c>
      <c r="I30" s="12">
        <f t="shared" ref="I30" si="2">G30*H30</f>
        <v>627.19999999999993</v>
      </c>
    </row>
    <row r="31" spans="2:10" ht="18" customHeight="1" x14ac:dyDescent="0.25">
      <c r="B31" s="124" t="s">
        <v>326</v>
      </c>
      <c r="C31" s="27" t="s">
        <v>329</v>
      </c>
      <c r="D31" s="67" t="s">
        <v>325</v>
      </c>
      <c r="E31" s="27">
        <v>49163</v>
      </c>
      <c r="F31" s="27">
        <v>1985112</v>
      </c>
      <c r="G31" s="141">
        <v>2100</v>
      </c>
      <c r="H31" s="130">
        <v>0.17069999999999999</v>
      </c>
      <c r="I31" s="12">
        <f t="shared" si="0"/>
        <v>358.46999999999997</v>
      </c>
    </row>
    <row r="32" spans="2:10" ht="18" customHeight="1" x14ac:dyDescent="0.25">
      <c r="B32" s="124" t="s">
        <v>70</v>
      </c>
      <c r="C32" s="27" t="s">
        <v>82</v>
      </c>
      <c r="D32" s="67" t="s">
        <v>325</v>
      </c>
      <c r="E32" s="27">
        <v>49020</v>
      </c>
      <c r="F32" s="27">
        <v>1980151</v>
      </c>
      <c r="G32" s="141">
        <v>2000</v>
      </c>
      <c r="H32" s="130">
        <v>0.25990000000000002</v>
      </c>
      <c r="I32" s="12">
        <f t="shared" si="0"/>
        <v>519.80000000000007</v>
      </c>
      <c r="J32" s="121"/>
    </row>
    <row r="33" spans="2:10" ht="18" customHeight="1" x14ac:dyDescent="0.25">
      <c r="B33" s="124" t="s">
        <v>144</v>
      </c>
      <c r="C33" s="27" t="s">
        <v>146</v>
      </c>
      <c r="D33" s="67" t="s">
        <v>325</v>
      </c>
      <c r="E33" s="27">
        <v>49243</v>
      </c>
      <c r="F33" s="27">
        <v>1987257</v>
      </c>
      <c r="G33" s="141">
        <v>2000</v>
      </c>
      <c r="H33" s="130">
        <v>0.1431</v>
      </c>
      <c r="I33" s="12">
        <f t="shared" si="0"/>
        <v>286.2</v>
      </c>
      <c r="J33" s="121"/>
    </row>
    <row r="34" spans="2:10" ht="18" customHeight="1" x14ac:dyDescent="0.25">
      <c r="B34" s="124" t="s">
        <v>327</v>
      </c>
      <c r="C34" s="27" t="s">
        <v>330</v>
      </c>
      <c r="D34" s="67" t="s">
        <v>325</v>
      </c>
      <c r="E34" s="27">
        <v>49165</v>
      </c>
      <c r="F34" s="27">
        <v>1985139</v>
      </c>
      <c r="G34" s="141">
        <v>2000</v>
      </c>
      <c r="H34" s="130">
        <v>0.19989999999999999</v>
      </c>
      <c r="I34" s="12">
        <f t="shared" si="0"/>
        <v>399.8</v>
      </c>
    </row>
    <row r="35" spans="2:10" ht="18" customHeight="1" x14ac:dyDescent="0.25">
      <c r="B35" s="124" t="s">
        <v>190</v>
      </c>
      <c r="C35" s="27" t="s">
        <v>204</v>
      </c>
      <c r="D35" s="67" t="s">
        <v>325</v>
      </c>
      <c r="E35" s="27">
        <v>49164</v>
      </c>
      <c r="F35" s="27">
        <v>1985121</v>
      </c>
      <c r="G35" s="141">
        <v>1200</v>
      </c>
      <c r="H35" s="130">
        <v>0.19739999999999999</v>
      </c>
      <c r="I35" s="12">
        <f t="shared" si="0"/>
        <v>236.88</v>
      </c>
    </row>
    <row r="36" spans="2:10" ht="18" customHeight="1" x14ac:dyDescent="0.25">
      <c r="B36" s="124" t="s">
        <v>332</v>
      </c>
      <c r="C36" s="139" t="s">
        <v>167</v>
      </c>
      <c r="D36" s="67" t="s">
        <v>325</v>
      </c>
      <c r="E36" s="27">
        <v>49155</v>
      </c>
      <c r="F36" s="27">
        <v>1984937</v>
      </c>
      <c r="G36" s="141">
        <v>1000</v>
      </c>
      <c r="H36" s="130">
        <v>0.14630000000000001</v>
      </c>
      <c r="I36" s="12">
        <f t="shared" si="0"/>
        <v>146.30000000000001</v>
      </c>
    </row>
    <row r="37" spans="2:10" ht="18" customHeight="1" x14ac:dyDescent="0.25">
      <c r="B37" s="124" t="s">
        <v>287</v>
      </c>
      <c r="C37" s="139" t="s">
        <v>291</v>
      </c>
      <c r="D37" s="67" t="s">
        <v>325</v>
      </c>
      <c r="E37" s="27">
        <v>49017</v>
      </c>
      <c r="F37" s="27">
        <v>1980127</v>
      </c>
      <c r="G37" s="141">
        <v>1000</v>
      </c>
      <c r="H37" s="130">
        <v>0.24590000000000001</v>
      </c>
      <c r="I37" s="12">
        <f t="shared" si="0"/>
        <v>245.9</v>
      </c>
      <c r="J37" s="3"/>
    </row>
    <row r="38" spans="2:10" ht="18" customHeight="1" thickBot="1" x14ac:dyDescent="0.3">
      <c r="B38" s="125" t="s">
        <v>328</v>
      </c>
      <c r="C38" s="88" t="s">
        <v>331</v>
      </c>
      <c r="D38" s="8" t="s">
        <v>325</v>
      </c>
      <c r="E38" s="88">
        <v>48967</v>
      </c>
      <c r="F38" s="88">
        <v>1978043</v>
      </c>
      <c r="G38" s="143">
        <v>500</v>
      </c>
      <c r="H38" s="131">
        <v>0.25</v>
      </c>
      <c r="I38" s="7">
        <f t="shared" si="0"/>
        <v>125</v>
      </c>
    </row>
    <row r="39" spans="2:10" ht="15.75" x14ac:dyDescent="0.25">
      <c r="B39" s="16" t="s">
        <v>3</v>
      </c>
      <c r="C39" s="15"/>
      <c r="D39" s="15"/>
      <c r="E39" s="15"/>
      <c r="F39" s="15"/>
      <c r="G39" s="14"/>
      <c r="H39" s="29">
        <v>800</v>
      </c>
      <c r="I39" s="64">
        <v>800</v>
      </c>
    </row>
    <row r="40" spans="2:10" ht="15.75" x14ac:dyDescent="0.25">
      <c r="B40" s="16" t="s">
        <v>2</v>
      </c>
      <c r="C40" s="15"/>
      <c r="D40" s="15"/>
      <c r="E40" s="15"/>
      <c r="F40" s="15"/>
      <c r="G40" s="14"/>
      <c r="H40" s="13">
        <v>250</v>
      </c>
      <c r="I40" s="12">
        <v>250</v>
      </c>
    </row>
    <row r="41" spans="2:10" ht="16.5" thickBot="1" x14ac:dyDescent="0.3">
      <c r="B41" s="11" t="s">
        <v>1</v>
      </c>
      <c r="C41" s="10"/>
      <c r="D41" s="10"/>
      <c r="E41" s="10"/>
      <c r="F41" s="10"/>
      <c r="G41" s="9"/>
      <c r="H41" s="8">
        <v>450</v>
      </c>
      <c r="I41" s="7">
        <v>450</v>
      </c>
    </row>
    <row r="42" spans="2:10" ht="15.75" thickBot="1" x14ac:dyDescent="0.3">
      <c r="B42" s="164" t="s">
        <v>0</v>
      </c>
      <c r="C42" s="165"/>
      <c r="D42" s="165"/>
      <c r="E42" s="165"/>
      <c r="F42" s="165"/>
      <c r="G42" s="165"/>
      <c r="H42" s="165"/>
      <c r="I42" s="166"/>
    </row>
    <row r="43" spans="2:10" ht="29.25" thickBot="1" x14ac:dyDescent="0.5">
      <c r="B43" s="146"/>
      <c r="C43" s="147"/>
      <c r="D43" s="147"/>
      <c r="E43" s="147"/>
      <c r="F43" s="148"/>
      <c r="G43" s="83">
        <f>SUM(G16:G38)</f>
        <v>520600</v>
      </c>
      <c r="H43" s="82"/>
      <c r="I43" s="81">
        <f>SUM(I16:I41)</f>
        <v>76985.289999999979</v>
      </c>
    </row>
    <row r="45" spans="2:10" x14ac:dyDescent="0.2">
      <c r="D45" s="3"/>
      <c r="G45" s="122"/>
      <c r="I45" s="3"/>
    </row>
    <row r="48" spans="2:10" x14ac:dyDescent="0.2">
      <c r="I48" s="3"/>
    </row>
    <row r="49" spans="4:4" x14ac:dyDescent="0.2">
      <c r="D49" s="2"/>
    </row>
  </sheetData>
  <mergeCells count="7">
    <mergeCell ref="B43:F43"/>
    <mergeCell ref="A1:I1"/>
    <mergeCell ref="A2:B3"/>
    <mergeCell ref="C2:G3"/>
    <mergeCell ref="B13:C13"/>
    <mergeCell ref="H13:I13"/>
    <mergeCell ref="B42:I42"/>
  </mergeCells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F077-A97C-4A9B-BFFC-1BABED02552C}">
  <sheetPr>
    <pageSetUpPr fitToPage="1"/>
  </sheetPr>
  <dimension ref="A1:J54"/>
  <sheetViews>
    <sheetView topLeftCell="D37" zoomScale="121" zoomScaleNormal="121" workbookViewId="0">
      <selection activeCell="C27" sqref="C27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312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313</v>
      </c>
      <c r="C13" s="162"/>
      <c r="D13" s="42"/>
      <c r="E13" s="41"/>
      <c r="F13" s="41"/>
      <c r="G13" s="41"/>
      <c r="H13" s="163" t="s">
        <v>311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140" t="s">
        <v>31</v>
      </c>
      <c r="E15" s="39" t="s">
        <v>30</v>
      </c>
      <c r="F15" s="39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2" t="s">
        <v>25</v>
      </c>
      <c r="C16" s="138" t="s">
        <v>24</v>
      </c>
      <c r="D16" s="133" t="s">
        <v>320</v>
      </c>
      <c r="E16" s="109">
        <v>48852</v>
      </c>
      <c r="F16" s="109">
        <v>1972856</v>
      </c>
      <c r="G16" s="142">
        <v>100000</v>
      </c>
      <c r="H16" s="135">
        <v>9.1200000000000003E-2</v>
      </c>
      <c r="I16" s="136">
        <f t="shared" ref="I16:I43" si="0">G16*H16</f>
        <v>9120</v>
      </c>
    </row>
    <row r="17" spans="2:10" ht="18" customHeight="1" x14ac:dyDescent="0.25">
      <c r="B17" s="124" t="s">
        <v>216</v>
      </c>
      <c r="C17" s="27" t="s">
        <v>20</v>
      </c>
      <c r="D17" s="67" t="s">
        <v>321</v>
      </c>
      <c r="E17" s="27">
        <v>48316</v>
      </c>
      <c r="F17" s="27">
        <v>1955933</v>
      </c>
      <c r="G17" s="141">
        <v>51500</v>
      </c>
      <c r="H17" s="130">
        <v>0.17480000000000001</v>
      </c>
      <c r="I17" s="12">
        <f t="shared" ref="I17:I18" si="1">G17*H17</f>
        <v>9002.2000000000007</v>
      </c>
    </row>
    <row r="18" spans="2:10" ht="18" customHeight="1" x14ac:dyDescent="0.25">
      <c r="B18" s="124" t="s">
        <v>17</v>
      </c>
      <c r="C18" s="27" t="s">
        <v>16</v>
      </c>
      <c r="D18" s="67" t="s">
        <v>320</v>
      </c>
      <c r="E18" s="27">
        <v>49096</v>
      </c>
      <c r="F18" s="27">
        <v>1982667</v>
      </c>
      <c r="G18" s="141">
        <v>40700</v>
      </c>
      <c r="H18" s="130">
        <v>0.16059999999999999</v>
      </c>
      <c r="I18" s="12">
        <f t="shared" si="1"/>
        <v>6536.42</v>
      </c>
    </row>
    <row r="19" spans="2:10" ht="18" customHeight="1" x14ac:dyDescent="0.25">
      <c r="B19" s="124" t="s">
        <v>14</v>
      </c>
      <c r="C19" s="27" t="s">
        <v>13</v>
      </c>
      <c r="D19" s="67" t="s">
        <v>321</v>
      </c>
      <c r="E19" s="27">
        <v>48804</v>
      </c>
      <c r="F19" s="27">
        <v>1971706</v>
      </c>
      <c r="G19" s="141">
        <v>36000</v>
      </c>
      <c r="H19" s="130">
        <v>0.17519999999999999</v>
      </c>
      <c r="I19" s="12">
        <f t="shared" ref="I19:I21" si="2">G19*H19</f>
        <v>6307.2</v>
      </c>
    </row>
    <row r="20" spans="2:10" ht="18" customHeight="1" x14ac:dyDescent="0.25">
      <c r="B20" s="124" t="s">
        <v>23</v>
      </c>
      <c r="C20" s="27" t="s">
        <v>22</v>
      </c>
      <c r="D20" s="67" t="s">
        <v>320</v>
      </c>
      <c r="E20" s="27">
        <v>48776</v>
      </c>
      <c r="F20" s="27">
        <v>1970391</v>
      </c>
      <c r="G20" s="141">
        <v>33000</v>
      </c>
      <c r="H20" s="130">
        <v>0.13800000000000001</v>
      </c>
      <c r="I20" s="12">
        <f t="shared" si="2"/>
        <v>4554</v>
      </c>
    </row>
    <row r="21" spans="2:10" ht="18" customHeight="1" x14ac:dyDescent="0.25">
      <c r="B21" s="124" t="s">
        <v>230</v>
      </c>
      <c r="C21" s="27" t="s">
        <v>232</v>
      </c>
      <c r="D21" s="67" t="s">
        <v>320</v>
      </c>
      <c r="E21" s="27">
        <v>48009</v>
      </c>
      <c r="F21" s="27">
        <v>1943588</v>
      </c>
      <c r="G21" s="141">
        <v>29000</v>
      </c>
      <c r="H21" s="130">
        <v>0.13800000000000001</v>
      </c>
      <c r="I21" s="12">
        <f t="shared" si="2"/>
        <v>4002.0000000000005</v>
      </c>
    </row>
    <row r="22" spans="2:10" ht="18" customHeight="1" x14ac:dyDescent="0.25">
      <c r="B22" s="124" t="s">
        <v>23</v>
      </c>
      <c r="C22" s="27" t="s">
        <v>22</v>
      </c>
      <c r="D22" s="67" t="s">
        <v>320</v>
      </c>
      <c r="E22" s="27">
        <v>49031</v>
      </c>
      <c r="F22" s="27">
        <v>1980223</v>
      </c>
      <c r="G22" s="141">
        <v>27000</v>
      </c>
      <c r="H22" s="130">
        <v>0.13800000000000001</v>
      </c>
      <c r="I22" s="12">
        <f t="shared" si="0"/>
        <v>3726.0000000000005</v>
      </c>
    </row>
    <row r="23" spans="2:10" ht="18" customHeight="1" x14ac:dyDescent="0.25">
      <c r="B23" s="124" t="s">
        <v>19</v>
      </c>
      <c r="C23" s="27" t="s">
        <v>18</v>
      </c>
      <c r="D23" s="67" t="s">
        <v>321</v>
      </c>
      <c r="E23" s="27">
        <v>48320</v>
      </c>
      <c r="F23" s="27">
        <v>1955976</v>
      </c>
      <c r="G23" s="141">
        <v>25000</v>
      </c>
      <c r="H23" s="130">
        <v>0.16830000000000001</v>
      </c>
      <c r="I23" s="12">
        <f t="shared" ref="I23" si="3">G23*H23</f>
        <v>4207.5</v>
      </c>
    </row>
    <row r="24" spans="2:10" ht="18" customHeight="1" x14ac:dyDescent="0.25">
      <c r="B24" s="124" t="s">
        <v>14</v>
      </c>
      <c r="C24" s="27" t="s">
        <v>13</v>
      </c>
      <c r="D24" s="67" t="s">
        <v>321</v>
      </c>
      <c r="E24" s="27">
        <v>48805</v>
      </c>
      <c r="F24" s="27">
        <v>1971714</v>
      </c>
      <c r="G24" s="141">
        <v>24000</v>
      </c>
      <c r="H24" s="130">
        <v>0.17519999999999999</v>
      </c>
      <c r="I24" s="12">
        <f t="shared" ref="I24" si="4">G24*H24</f>
        <v>4204.8</v>
      </c>
      <c r="J24" s="122"/>
    </row>
    <row r="25" spans="2:10" ht="18" customHeight="1" x14ac:dyDescent="0.25">
      <c r="B25" s="124" t="s">
        <v>97</v>
      </c>
      <c r="C25" s="27" t="s">
        <v>110</v>
      </c>
      <c r="D25" s="67" t="s">
        <v>321</v>
      </c>
      <c r="E25" s="27">
        <v>48839</v>
      </c>
      <c r="F25" s="27">
        <v>1972717</v>
      </c>
      <c r="G25" s="141">
        <v>20000</v>
      </c>
      <c r="H25" s="130">
        <v>0.15190000000000001</v>
      </c>
      <c r="I25" s="12">
        <f t="shared" si="0"/>
        <v>3038</v>
      </c>
    </row>
    <row r="26" spans="2:10" ht="18" customHeight="1" x14ac:dyDescent="0.25">
      <c r="B26" s="124" t="s">
        <v>61</v>
      </c>
      <c r="C26" s="27" t="s">
        <v>73</v>
      </c>
      <c r="D26" s="67" t="s">
        <v>321</v>
      </c>
      <c r="E26" s="27">
        <v>48751</v>
      </c>
      <c r="F26" s="27">
        <v>1970156</v>
      </c>
      <c r="G26" s="141">
        <v>20000</v>
      </c>
      <c r="H26" s="130">
        <v>0.2276</v>
      </c>
      <c r="I26" s="12">
        <f t="shared" si="0"/>
        <v>4552</v>
      </c>
    </row>
    <row r="27" spans="2:10" ht="18" customHeight="1" x14ac:dyDescent="0.25">
      <c r="B27" s="124" t="s">
        <v>143</v>
      </c>
      <c r="C27" s="27" t="s">
        <v>145</v>
      </c>
      <c r="D27" s="67" t="s">
        <v>321</v>
      </c>
      <c r="E27" s="27">
        <v>48661</v>
      </c>
      <c r="F27" s="27">
        <v>1966827</v>
      </c>
      <c r="G27" s="141">
        <v>20000</v>
      </c>
      <c r="H27" s="130">
        <v>0.15679999999999999</v>
      </c>
      <c r="I27" s="12">
        <f t="shared" ref="I27" si="5">G27*H27</f>
        <v>3136</v>
      </c>
    </row>
    <row r="28" spans="2:10" ht="18" customHeight="1" x14ac:dyDescent="0.25">
      <c r="B28" s="124" t="s">
        <v>209</v>
      </c>
      <c r="C28" s="27" t="s">
        <v>210</v>
      </c>
      <c r="D28" s="67" t="s">
        <v>321</v>
      </c>
      <c r="E28" s="27">
        <v>49161</v>
      </c>
      <c r="F28" s="27">
        <v>1985091</v>
      </c>
      <c r="G28" s="141">
        <v>12000</v>
      </c>
      <c r="H28" s="130">
        <v>0.14860000000000001</v>
      </c>
      <c r="I28" s="12">
        <f t="shared" si="0"/>
        <v>1783.2</v>
      </c>
    </row>
    <row r="29" spans="2:10" ht="18" customHeight="1" x14ac:dyDescent="0.25">
      <c r="B29" s="124" t="s">
        <v>102</v>
      </c>
      <c r="C29" s="27" t="s">
        <v>115</v>
      </c>
      <c r="D29" s="67" t="s">
        <v>321</v>
      </c>
      <c r="E29" s="27">
        <v>48949</v>
      </c>
      <c r="F29" s="27">
        <v>1977286</v>
      </c>
      <c r="G29" s="141">
        <v>11000</v>
      </c>
      <c r="H29" s="130">
        <v>0.21110000000000001</v>
      </c>
      <c r="I29" s="12">
        <f t="shared" si="0"/>
        <v>2322.1</v>
      </c>
    </row>
    <row r="30" spans="2:10" ht="18" customHeight="1" x14ac:dyDescent="0.25">
      <c r="B30" s="124" t="s">
        <v>187</v>
      </c>
      <c r="C30" s="27" t="s">
        <v>197</v>
      </c>
      <c r="D30" s="67" t="s">
        <v>321</v>
      </c>
      <c r="E30" s="27">
        <v>48516</v>
      </c>
      <c r="F30" s="27">
        <v>1961882</v>
      </c>
      <c r="G30" s="141">
        <v>11000</v>
      </c>
      <c r="H30" s="130">
        <v>0.2014</v>
      </c>
      <c r="I30" s="12">
        <f t="shared" si="0"/>
        <v>2215.4</v>
      </c>
    </row>
    <row r="31" spans="2:10" ht="18" customHeight="1" x14ac:dyDescent="0.25">
      <c r="B31" s="124" t="s">
        <v>60</v>
      </c>
      <c r="C31" s="27" t="s">
        <v>72</v>
      </c>
      <c r="D31" s="67" t="s">
        <v>321</v>
      </c>
      <c r="E31" s="27">
        <v>48327</v>
      </c>
      <c r="F31" s="27">
        <v>1956071</v>
      </c>
      <c r="G31" s="141">
        <v>8500</v>
      </c>
      <c r="H31" s="130">
        <v>0.14990000000000001</v>
      </c>
      <c r="I31" s="12">
        <f t="shared" si="0"/>
        <v>1274.1500000000001</v>
      </c>
      <c r="J31" s="121"/>
    </row>
    <row r="32" spans="2:10" ht="18" customHeight="1" x14ac:dyDescent="0.25">
      <c r="B32" s="124" t="s">
        <v>174</v>
      </c>
      <c r="C32" s="27" t="s">
        <v>179</v>
      </c>
      <c r="D32" s="67" t="s">
        <v>321</v>
      </c>
      <c r="E32" s="27">
        <v>49022</v>
      </c>
      <c r="F32" s="27">
        <v>1980178</v>
      </c>
      <c r="G32" s="141">
        <v>7000</v>
      </c>
      <c r="H32" s="130">
        <v>0.21110000000000001</v>
      </c>
      <c r="I32" s="12">
        <f t="shared" ref="I32" si="6">G32*H32</f>
        <v>1477.7</v>
      </c>
      <c r="J32" s="121"/>
    </row>
    <row r="33" spans="2:10" ht="18" customHeight="1" x14ac:dyDescent="0.25">
      <c r="B33" s="124" t="s">
        <v>240</v>
      </c>
      <c r="C33" s="27" t="s">
        <v>247</v>
      </c>
      <c r="D33" s="67" t="s">
        <v>321</v>
      </c>
      <c r="E33" s="27">
        <v>48996</v>
      </c>
      <c r="F33" s="27">
        <v>1979901</v>
      </c>
      <c r="G33" s="141">
        <v>6000</v>
      </c>
      <c r="H33" s="130">
        <v>0.13850000000000001</v>
      </c>
      <c r="I33" s="12">
        <f t="shared" si="0"/>
        <v>831.00000000000011</v>
      </c>
    </row>
    <row r="34" spans="2:10" ht="18" customHeight="1" x14ac:dyDescent="0.25">
      <c r="B34" s="124" t="s">
        <v>97</v>
      </c>
      <c r="C34" s="27" t="s">
        <v>110</v>
      </c>
      <c r="D34" s="67" t="s">
        <v>321</v>
      </c>
      <c r="E34" s="27">
        <v>48837</v>
      </c>
      <c r="F34" s="27">
        <v>1972696</v>
      </c>
      <c r="G34" s="141">
        <v>4000</v>
      </c>
      <c r="H34" s="130">
        <v>0.15190000000000001</v>
      </c>
      <c r="I34" s="12">
        <f t="shared" si="0"/>
        <v>607.6</v>
      </c>
    </row>
    <row r="35" spans="2:10" ht="18" customHeight="1" x14ac:dyDescent="0.25">
      <c r="B35" s="124" t="s">
        <v>209</v>
      </c>
      <c r="C35" s="27" t="s">
        <v>210</v>
      </c>
      <c r="D35" s="67" t="s">
        <v>321</v>
      </c>
      <c r="E35" s="27">
        <v>48997</v>
      </c>
      <c r="F35" s="27">
        <v>1979919</v>
      </c>
      <c r="G35" s="141">
        <v>3400</v>
      </c>
      <c r="H35" s="130">
        <v>0.14860000000000001</v>
      </c>
      <c r="I35" s="12">
        <f t="shared" si="0"/>
        <v>505.24</v>
      </c>
    </row>
    <row r="36" spans="2:10" ht="18" customHeight="1" x14ac:dyDescent="0.25">
      <c r="B36" s="124" t="s">
        <v>316</v>
      </c>
      <c r="C36" s="139" t="s">
        <v>319</v>
      </c>
      <c r="D36" s="67" t="s">
        <v>321</v>
      </c>
      <c r="E36" s="27">
        <v>49162</v>
      </c>
      <c r="F36" s="27">
        <v>1985104</v>
      </c>
      <c r="G36" s="141">
        <v>2000</v>
      </c>
      <c r="H36" s="130">
        <v>0.14630000000000001</v>
      </c>
      <c r="I36" s="12">
        <f t="shared" si="0"/>
        <v>292.60000000000002</v>
      </c>
    </row>
    <row r="37" spans="2:10" ht="18" customHeight="1" x14ac:dyDescent="0.25">
      <c r="B37" s="124" t="s">
        <v>191</v>
      </c>
      <c r="C37" s="139" t="s">
        <v>203</v>
      </c>
      <c r="D37" s="67" t="s">
        <v>321</v>
      </c>
      <c r="E37" s="27">
        <v>49177</v>
      </c>
      <c r="F37" s="27">
        <v>1985331</v>
      </c>
      <c r="G37" s="141">
        <v>2000</v>
      </c>
      <c r="H37" s="130">
        <v>0.22589999999999999</v>
      </c>
      <c r="I37" s="12">
        <f t="shared" si="0"/>
        <v>451.79999999999995</v>
      </c>
      <c r="J37" s="3"/>
    </row>
    <row r="38" spans="2:10" ht="18" customHeight="1" x14ac:dyDescent="0.25">
      <c r="B38" s="124" t="s">
        <v>300</v>
      </c>
      <c r="C38" s="139" t="s">
        <v>305</v>
      </c>
      <c r="D38" s="67" t="s">
        <v>321</v>
      </c>
      <c r="E38" s="27">
        <v>48889</v>
      </c>
      <c r="F38" s="27">
        <v>1975168</v>
      </c>
      <c r="G38" s="141">
        <v>1600</v>
      </c>
      <c r="H38" s="130">
        <v>0.23180000000000001</v>
      </c>
      <c r="I38" s="12">
        <f t="shared" si="0"/>
        <v>370.88</v>
      </c>
    </row>
    <row r="39" spans="2:10" ht="18" customHeight="1" x14ac:dyDescent="0.25">
      <c r="B39" s="124" t="s">
        <v>187</v>
      </c>
      <c r="C39" s="139" t="s">
        <v>197</v>
      </c>
      <c r="D39" s="67" t="s">
        <v>321</v>
      </c>
      <c r="E39" s="27">
        <v>48389</v>
      </c>
      <c r="F39" s="27">
        <v>1958501</v>
      </c>
      <c r="G39" s="141">
        <v>1400</v>
      </c>
      <c r="H39" s="130">
        <v>0.2014</v>
      </c>
      <c r="I39" s="12">
        <f t="shared" si="0"/>
        <v>281.95999999999998</v>
      </c>
    </row>
    <row r="40" spans="2:10" ht="18" customHeight="1" x14ac:dyDescent="0.25">
      <c r="B40" s="124" t="s">
        <v>191</v>
      </c>
      <c r="C40" s="139" t="s">
        <v>203</v>
      </c>
      <c r="D40" s="67" t="s">
        <v>321</v>
      </c>
      <c r="E40" s="27">
        <v>48845</v>
      </c>
      <c r="F40" s="27">
        <v>1972784</v>
      </c>
      <c r="G40" s="141">
        <v>1000</v>
      </c>
      <c r="H40" s="130">
        <v>0.22589999999999999</v>
      </c>
      <c r="I40" s="12">
        <f t="shared" si="0"/>
        <v>225.89999999999998</v>
      </c>
    </row>
    <row r="41" spans="2:10" ht="18" customHeight="1" x14ac:dyDescent="0.25">
      <c r="B41" s="124" t="s">
        <v>289</v>
      </c>
      <c r="C41" s="139" t="s">
        <v>5</v>
      </c>
      <c r="D41" s="67" t="s">
        <v>294</v>
      </c>
      <c r="E41" s="27">
        <v>48180</v>
      </c>
      <c r="F41" s="27">
        <v>1950892</v>
      </c>
      <c r="G41" s="141">
        <v>300</v>
      </c>
      <c r="H41" s="130">
        <v>0.18160000000000001</v>
      </c>
      <c r="I41" s="12">
        <f t="shared" si="0"/>
        <v>54.480000000000004</v>
      </c>
    </row>
    <row r="42" spans="2:10" ht="18" customHeight="1" x14ac:dyDescent="0.25">
      <c r="B42" s="124" t="s">
        <v>315</v>
      </c>
      <c r="C42" s="27" t="s">
        <v>318</v>
      </c>
      <c r="D42" s="13" t="s">
        <v>321</v>
      </c>
      <c r="E42" s="27" t="s">
        <v>318</v>
      </c>
      <c r="F42" s="27" t="s">
        <v>318</v>
      </c>
      <c r="G42" s="141">
        <v>100</v>
      </c>
      <c r="H42" s="130">
        <v>0.25</v>
      </c>
      <c r="I42" s="12">
        <f t="shared" si="0"/>
        <v>25</v>
      </c>
    </row>
    <row r="43" spans="2:10" ht="18" customHeight="1" thickBot="1" x14ac:dyDescent="0.3">
      <c r="B43" s="125" t="s">
        <v>314</v>
      </c>
      <c r="C43" s="88" t="s">
        <v>317</v>
      </c>
      <c r="D43" s="8" t="s">
        <v>321</v>
      </c>
      <c r="E43" s="88" t="s">
        <v>317</v>
      </c>
      <c r="F43" s="88" t="s">
        <v>317</v>
      </c>
      <c r="G43" s="143">
        <v>100</v>
      </c>
      <c r="H43" s="131">
        <v>0.25</v>
      </c>
      <c r="I43" s="7">
        <f t="shared" si="0"/>
        <v>25</v>
      </c>
    </row>
    <row r="44" spans="2:10" ht="15.75" x14ac:dyDescent="0.25">
      <c r="B44" s="16" t="s">
        <v>3</v>
      </c>
      <c r="C44" s="15"/>
      <c r="D44" s="15"/>
      <c r="E44" s="15"/>
      <c r="F44" s="15"/>
      <c r="G44" s="14"/>
      <c r="H44" s="29">
        <v>800</v>
      </c>
      <c r="I44" s="64">
        <v>800</v>
      </c>
    </row>
    <row r="45" spans="2:10" ht="15.75" x14ac:dyDescent="0.25">
      <c r="B45" s="16" t="s">
        <v>2</v>
      </c>
      <c r="C45" s="15"/>
      <c r="D45" s="15"/>
      <c r="E45" s="15"/>
      <c r="F45" s="15"/>
      <c r="G45" s="14"/>
      <c r="H45" s="13">
        <v>250</v>
      </c>
      <c r="I45" s="12">
        <v>250</v>
      </c>
    </row>
    <row r="46" spans="2:10" ht="16.5" thickBot="1" x14ac:dyDescent="0.3">
      <c r="B46" s="11" t="s">
        <v>1</v>
      </c>
      <c r="C46" s="10"/>
      <c r="D46" s="10"/>
      <c r="E46" s="10"/>
      <c r="F46" s="10"/>
      <c r="G46" s="9"/>
      <c r="H46" s="8">
        <v>450</v>
      </c>
      <c r="I46" s="7">
        <v>450</v>
      </c>
    </row>
    <row r="47" spans="2:10" ht="15.75" thickBot="1" x14ac:dyDescent="0.3">
      <c r="B47" s="164" t="s">
        <v>0</v>
      </c>
      <c r="C47" s="165"/>
      <c r="D47" s="165"/>
      <c r="E47" s="165"/>
      <c r="F47" s="165"/>
      <c r="G47" s="165"/>
      <c r="H47" s="165"/>
      <c r="I47" s="166"/>
    </row>
    <row r="48" spans="2:10" ht="29.25" thickBot="1" x14ac:dyDescent="0.5">
      <c r="B48" s="146"/>
      <c r="C48" s="147"/>
      <c r="D48" s="147"/>
      <c r="E48" s="147"/>
      <c r="F48" s="148"/>
      <c r="G48" s="83">
        <f>SUM(G16:G43)</f>
        <v>497600</v>
      </c>
      <c r="H48" s="82"/>
      <c r="I48" s="81">
        <f>SUM(I16:I46)</f>
        <v>76630.130000000019</v>
      </c>
    </row>
    <row r="50" spans="4:9" x14ac:dyDescent="0.2">
      <c r="D50" s="3"/>
      <c r="G50" s="122"/>
      <c r="I50" s="3"/>
    </row>
    <row r="53" spans="4:9" x14ac:dyDescent="0.2">
      <c r="I53" s="3"/>
    </row>
    <row r="54" spans="4:9" x14ac:dyDescent="0.2">
      <c r="D54" s="2"/>
    </row>
  </sheetData>
  <mergeCells count="7">
    <mergeCell ref="B48:F48"/>
    <mergeCell ref="A1:I1"/>
    <mergeCell ref="A2:B3"/>
    <mergeCell ref="C2:G3"/>
    <mergeCell ref="B13:C13"/>
    <mergeCell ref="H13:I13"/>
    <mergeCell ref="B47:I47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1E498-F8D6-44E4-A082-21D88BB1492F}">
  <sheetPr>
    <pageSetUpPr fitToPage="1"/>
  </sheetPr>
  <dimension ref="A1:J51"/>
  <sheetViews>
    <sheetView topLeftCell="F34" zoomScale="121" zoomScaleNormal="121" workbookViewId="0">
      <selection activeCell="D37" sqref="D37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310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296</v>
      </c>
      <c r="C13" s="162"/>
      <c r="D13" s="42"/>
      <c r="E13" s="41"/>
      <c r="F13" s="41"/>
      <c r="G13" s="41"/>
      <c r="H13" s="163" t="s">
        <v>297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2" t="s">
        <v>23</v>
      </c>
      <c r="C16" s="109" t="s">
        <v>22</v>
      </c>
      <c r="D16" s="133" t="s">
        <v>299</v>
      </c>
      <c r="E16" s="109">
        <v>48776</v>
      </c>
      <c r="F16" s="134">
        <v>1970391</v>
      </c>
      <c r="G16" s="137">
        <v>67000</v>
      </c>
      <c r="H16" s="135">
        <v>0.13800000000000001</v>
      </c>
      <c r="I16" s="136">
        <f t="shared" ref="I16:I19" si="0">G16*H16</f>
        <v>9246</v>
      </c>
    </row>
    <row r="17" spans="2:10" ht="18" customHeight="1" x14ac:dyDescent="0.25">
      <c r="B17" s="124" t="s">
        <v>60</v>
      </c>
      <c r="C17" s="27" t="s">
        <v>72</v>
      </c>
      <c r="D17" s="67" t="s">
        <v>298</v>
      </c>
      <c r="E17" s="27">
        <v>48327</v>
      </c>
      <c r="F17" s="13">
        <v>1956071</v>
      </c>
      <c r="G17" s="71">
        <v>60200</v>
      </c>
      <c r="H17" s="130">
        <v>0.14990000000000001</v>
      </c>
      <c r="I17" s="12">
        <f t="shared" si="0"/>
        <v>9023.98</v>
      </c>
    </row>
    <row r="18" spans="2:10" ht="18" customHeight="1" x14ac:dyDescent="0.25">
      <c r="B18" s="124" t="s">
        <v>17</v>
      </c>
      <c r="C18" s="27" t="s">
        <v>16</v>
      </c>
      <c r="D18" s="67" t="s">
        <v>299</v>
      </c>
      <c r="E18" s="27">
        <v>49096</v>
      </c>
      <c r="F18" s="13">
        <v>1982667</v>
      </c>
      <c r="G18" s="71">
        <v>41700</v>
      </c>
      <c r="H18" s="130">
        <v>0.16059999999999999</v>
      </c>
      <c r="I18" s="12">
        <f>G18*H18</f>
        <v>6697.0199999999995</v>
      </c>
    </row>
    <row r="19" spans="2:10" ht="18" customHeight="1" x14ac:dyDescent="0.25">
      <c r="B19" s="124" t="s">
        <v>14</v>
      </c>
      <c r="C19" s="27" t="s">
        <v>13</v>
      </c>
      <c r="D19" s="67" t="s">
        <v>298</v>
      </c>
      <c r="E19" s="27">
        <v>48803</v>
      </c>
      <c r="F19" s="13">
        <v>1971693</v>
      </c>
      <c r="G19" s="71">
        <v>36000</v>
      </c>
      <c r="H19" s="130">
        <v>0.17519999999999999</v>
      </c>
      <c r="I19" s="12">
        <f t="shared" si="0"/>
        <v>6307.2</v>
      </c>
    </row>
    <row r="20" spans="2:10" ht="18" customHeight="1" x14ac:dyDescent="0.25">
      <c r="B20" s="124" t="s">
        <v>25</v>
      </c>
      <c r="C20" s="27" t="s">
        <v>24</v>
      </c>
      <c r="D20" s="67" t="s">
        <v>299</v>
      </c>
      <c r="E20" s="27">
        <v>48771</v>
      </c>
      <c r="F20" s="13">
        <v>1970332</v>
      </c>
      <c r="G20" s="71">
        <v>22600</v>
      </c>
      <c r="H20" s="130">
        <v>9.1200000000000003E-2</v>
      </c>
      <c r="I20" s="12">
        <f t="shared" ref="I20:I40" si="1">G20*H20</f>
        <v>2061.12</v>
      </c>
      <c r="J20" s="122"/>
    </row>
    <row r="21" spans="2:10" ht="18" customHeight="1" x14ac:dyDescent="0.25">
      <c r="B21" s="124" t="s">
        <v>187</v>
      </c>
      <c r="C21" s="27" t="s">
        <v>197</v>
      </c>
      <c r="D21" s="67" t="s">
        <v>298</v>
      </c>
      <c r="E21" s="27">
        <v>48389</v>
      </c>
      <c r="F21" s="13">
        <v>1958501</v>
      </c>
      <c r="G21" s="71">
        <v>18600</v>
      </c>
      <c r="H21" s="130">
        <v>0.2014</v>
      </c>
      <c r="I21" s="12">
        <f t="shared" ref="I21:I22" si="2">G21*H21</f>
        <v>3746.04</v>
      </c>
      <c r="J21" s="122"/>
    </row>
    <row r="22" spans="2:10" ht="18" customHeight="1" x14ac:dyDescent="0.25">
      <c r="B22" s="124" t="s">
        <v>300</v>
      </c>
      <c r="C22" s="27" t="s">
        <v>305</v>
      </c>
      <c r="D22" s="67" t="s">
        <v>298</v>
      </c>
      <c r="E22" s="27">
        <v>48889</v>
      </c>
      <c r="F22" s="13">
        <v>1975168</v>
      </c>
      <c r="G22" s="71">
        <v>17700</v>
      </c>
      <c r="H22" s="130">
        <v>0.23180000000000001</v>
      </c>
      <c r="I22" s="12">
        <f t="shared" si="2"/>
        <v>4102.8599999999997</v>
      </c>
      <c r="J22" s="122"/>
    </row>
    <row r="23" spans="2:10" ht="18" customHeight="1" x14ac:dyDescent="0.25">
      <c r="B23" s="124" t="s">
        <v>97</v>
      </c>
      <c r="C23" s="27" t="s">
        <v>110</v>
      </c>
      <c r="D23" s="67" t="s">
        <v>298</v>
      </c>
      <c r="E23" s="27">
        <v>48837</v>
      </c>
      <c r="F23" s="13">
        <v>1972696</v>
      </c>
      <c r="G23" s="71">
        <v>16000</v>
      </c>
      <c r="H23" s="130">
        <v>0.15190000000000001</v>
      </c>
      <c r="I23" s="12">
        <f t="shared" si="1"/>
        <v>2430.4</v>
      </c>
    </row>
    <row r="24" spans="2:10" ht="18" customHeight="1" x14ac:dyDescent="0.25">
      <c r="B24" s="124" t="s">
        <v>173</v>
      </c>
      <c r="C24" s="27" t="s">
        <v>178</v>
      </c>
      <c r="D24" s="67" t="s">
        <v>298</v>
      </c>
      <c r="E24" s="27">
        <v>48937</v>
      </c>
      <c r="F24" s="13">
        <v>1977041</v>
      </c>
      <c r="G24" s="71">
        <v>15100</v>
      </c>
      <c r="H24" s="130">
        <v>0.158</v>
      </c>
      <c r="I24" s="12">
        <f t="shared" si="1"/>
        <v>2385.8000000000002</v>
      </c>
    </row>
    <row r="25" spans="2:10" ht="18" customHeight="1" x14ac:dyDescent="0.25">
      <c r="B25" s="124" t="s">
        <v>230</v>
      </c>
      <c r="C25" s="27" t="s">
        <v>232</v>
      </c>
      <c r="D25" s="67" t="s">
        <v>299</v>
      </c>
      <c r="E25" s="27">
        <v>48009</v>
      </c>
      <c r="F25" s="13">
        <v>1943588</v>
      </c>
      <c r="G25" s="71">
        <v>15000</v>
      </c>
      <c r="H25" s="130">
        <v>0.13800000000000001</v>
      </c>
      <c r="I25" s="12">
        <f t="shared" ref="I25:I28" si="3">G25*H25</f>
        <v>2070</v>
      </c>
    </row>
    <row r="26" spans="2:10" ht="18" customHeight="1" x14ac:dyDescent="0.25">
      <c r="B26" s="124" t="s">
        <v>102</v>
      </c>
      <c r="C26" s="27" t="s">
        <v>115</v>
      </c>
      <c r="D26" s="67" t="s">
        <v>298</v>
      </c>
      <c r="E26" s="27">
        <v>48675</v>
      </c>
      <c r="F26" s="13">
        <v>1966966</v>
      </c>
      <c r="G26" s="71">
        <v>11000</v>
      </c>
      <c r="H26" s="130">
        <v>0.21110000000000001</v>
      </c>
      <c r="I26" s="12">
        <f t="shared" ref="I26" si="4">G26*H26</f>
        <v>2322.1</v>
      </c>
    </row>
    <row r="27" spans="2:10" ht="18" customHeight="1" x14ac:dyDescent="0.25">
      <c r="B27" s="124" t="s">
        <v>209</v>
      </c>
      <c r="C27" s="27" t="s">
        <v>210</v>
      </c>
      <c r="D27" s="67" t="s">
        <v>298</v>
      </c>
      <c r="E27" s="27">
        <v>48997</v>
      </c>
      <c r="F27" s="13">
        <v>1979919</v>
      </c>
      <c r="G27" s="71">
        <v>8600</v>
      </c>
      <c r="H27" s="130">
        <v>0.14860000000000001</v>
      </c>
      <c r="I27" s="12">
        <f t="shared" si="3"/>
        <v>1277.96</v>
      </c>
    </row>
    <row r="28" spans="2:10" ht="18" customHeight="1" x14ac:dyDescent="0.25">
      <c r="B28" s="124" t="s">
        <v>301</v>
      </c>
      <c r="C28" s="27" t="s">
        <v>306</v>
      </c>
      <c r="D28" s="67" t="s">
        <v>298</v>
      </c>
      <c r="E28" s="27">
        <v>48931</v>
      </c>
      <c r="F28" s="13">
        <v>1976988</v>
      </c>
      <c r="G28" s="71">
        <v>8000</v>
      </c>
      <c r="H28" s="130">
        <v>0.13980000000000001</v>
      </c>
      <c r="I28" s="12">
        <f t="shared" si="3"/>
        <v>1118.4000000000001</v>
      </c>
    </row>
    <row r="29" spans="2:10" ht="18" customHeight="1" x14ac:dyDescent="0.25">
      <c r="B29" s="124" t="s">
        <v>92</v>
      </c>
      <c r="C29" s="27" t="s">
        <v>104</v>
      </c>
      <c r="D29" s="67" t="s">
        <v>298</v>
      </c>
      <c r="E29" s="27">
        <v>48653</v>
      </c>
      <c r="F29" s="13">
        <v>1966721</v>
      </c>
      <c r="G29" s="71">
        <v>6000</v>
      </c>
      <c r="H29" s="130">
        <v>0.1694</v>
      </c>
      <c r="I29" s="12">
        <f t="shared" si="1"/>
        <v>1016.4</v>
      </c>
    </row>
    <row r="30" spans="2:10" ht="18" customHeight="1" x14ac:dyDescent="0.25">
      <c r="B30" s="124" t="s">
        <v>96</v>
      </c>
      <c r="C30" s="27" t="s">
        <v>109</v>
      </c>
      <c r="D30" s="67" t="s">
        <v>298</v>
      </c>
      <c r="E30" s="27">
        <v>48998</v>
      </c>
      <c r="F30" s="13">
        <v>1979927</v>
      </c>
      <c r="G30" s="71">
        <v>3000</v>
      </c>
      <c r="H30" s="130">
        <v>0.1835</v>
      </c>
      <c r="I30" s="12">
        <f t="shared" si="1"/>
        <v>550.5</v>
      </c>
      <c r="J30" s="121"/>
    </row>
    <row r="31" spans="2:10" ht="18" customHeight="1" x14ac:dyDescent="0.25">
      <c r="B31" s="124" t="s">
        <v>97</v>
      </c>
      <c r="C31" s="27" t="s">
        <v>110</v>
      </c>
      <c r="D31" s="67" t="s">
        <v>298</v>
      </c>
      <c r="E31" s="27">
        <v>48838</v>
      </c>
      <c r="F31" s="13">
        <v>1972709</v>
      </c>
      <c r="G31" s="71">
        <v>2000</v>
      </c>
      <c r="H31" s="130">
        <v>0.15190000000000001</v>
      </c>
      <c r="I31" s="12">
        <f t="shared" si="1"/>
        <v>303.8</v>
      </c>
    </row>
    <row r="32" spans="2:10" ht="18" customHeight="1" x14ac:dyDescent="0.25">
      <c r="B32" s="124" t="s">
        <v>189</v>
      </c>
      <c r="C32" s="27" t="s">
        <v>205</v>
      </c>
      <c r="D32" s="67" t="s">
        <v>298</v>
      </c>
      <c r="E32" s="27">
        <v>48833</v>
      </c>
      <c r="F32" s="13">
        <v>1972653</v>
      </c>
      <c r="G32" s="71">
        <v>2000</v>
      </c>
      <c r="H32" s="130">
        <v>0.1361</v>
      </c>
      <c r="I32" s="12">
        <f t="shared" si="1"/>
        <v>272.2</v>
      </c>
    </row>
    <row r="33" spans="2:10" ht="18" customHeight="1" x14ac:dyDescent="0.25">
      <c r="B33" s="124" t="s">
        <v>302</v>
      </c>
      <c r="C33" s="27" t="s">
        <v>307</v>
      </c>
      <c r="D33" s="67" t="s">
        <v>298</v>
      </c>
      <c r="E33" s="27">
        <v>48986</v>
      </c>
      <c r="F33" s="13">
        <v>1979521</v>
      </c>
      <c r="G33" s="71">
        <v>1500</v>
      </c>
      <c r="H33" s="130">
        <v>0.23519999999999999</v>
      </c>
      <c r="I33" s="12">
        <f t="shared" si="1"/>
        <v>352.8</v>
      </c>
    </row>
    <row r="34" spans="2:10" ht="18" customHeight="1" x14ac:dyDescent="0.25">
      <c r="B34" s="124" t="s">
        <v>303</v>
      </c>
      <c r="C34" s="27" t="s">
        <v>308</v>
      </c>
      <c r="D34" s="67" t="s">
        <v>298</v>
      </c>
      <c r="E34" s="27">
        <v>48424</v>
      </c>
      <c r="F34" s="13">
        <v>1959467</v>
      </c>
      <c r="G34" s="71">
        <v>1200</v>
      </c>
      <c r="H34" s="130">
        <v>0.15479999999999999</v>
      </c>
      <c r="I34" s="12">
        <f t="shared" si="1"/>
        <v>185.76</v>
      </c>
    </row>
    <row r="35" spans="2:10" ht="18" customHeight="1" x14ac:dyDescent="0.25">
      <c r="B35" s="124" t="s">
        <v>304</v>
      </c>
      <c r="C35" s="27" t="s">
        <v>309</v>
      </c>
      <c r="D35" s="67" t="s">
        <v>298</v>
      </c>
      <c r="E35" s="27">
        <v>48871</v>
      </c>
      <c r="F35" s="13">
        <v>1974000</v>
      </c>
      <c r="G35" s="71">
        <v>1000</v>
      </c>
      <c r="H35" s="130">
        <v>0.24829999999999999</v>
      </c>
      <c r="I35" s="12">
        <f t="shared" si="1"/>
        <v>248.29999999999998</v>
      </c>
      <c r="J35" s="3"/>
    </row>
    <row r="36" spans="2:10" ht="18" customHeight="1" x14ac:dyDescent="0.25">
      <c r="B36" s="124" t="s">
        <v>194</v>
      </c>
      <c r="C36" s="27" t="s">
        <v>200</v>
      </c>
      <c r="D36" s="67" t="s">
        <v>298</v>
      </c>
      <c r="E36" s="27">
        <v>48987</v>
      </c>
      <c r="F36" s="13">
        <v>1979530</v>
      </c>
      <c r="G36" s="71">
        <v>1000</v>
      </c>
      <c r="H36" s="130">
        <v>0.24679999999999999</v>
      </c>
      <c r="I36" s="12">
        <f t="shared" si="1"/>
        <v>246.79999999999998</v>
      </c>
    </row>
    <row r="37" spans="2:10" ht="18" customHeight="1" x14ac:dyDescent="0.25">
      <c r="B37" s="124" t="s">
        <v>175</v>
      </c>
      <c r="C37" s="27" t="s">
        <v>182</v>
      </c>
      <c r="D37" s="67" t="s">
        <v>298</v>
      </c>
      <c r="E37" s="27">
        <v>48888</v>
      </c>
      <c r="F37" s="13">
        <v>1975141</v>
      </c>
      <c r="G37" s="71">
        <v>1000</v>
      </c>
      <c r="H37" s="130">
        <v>0.21529999999999999</v>
      </c>
      <c r="I37" s="12">
        <f t="shared" si="1"/>
        <v>215.29999999999998</v>
      </c>
    </row>
    <row r="38" spans="2:10" ht="18" customHeight="1" x14ac:dyDescent="0.25">
      <c r="B38" s="124" t="s">
        <v>21</v>
      </c>
      <c r="C38" s="27" t="s">
        <v>20</v>
      </c>
      <c r="D38" s="67" t="s">
        <v>298</v>
      </c>
      <c r="E38" s="27">
        <v>49184</v>
      </c>
      <c r="F38" s="13">
        <v>1985500</v>
      </c>
      <c r="G38" s="71">
        <v>300</v>
      </c>
      <c r="H38" s="130">
        <v>0.25</v>
      </c>
      <c r="I38" s="12">
        <f t="shared" ref="I38" si="5">G38*H38</f>
        <v>75</v>
      </c>
    </row>
    <row r="39" spans="2:10" ht="18" customHeight="1" x14ac:dyDescent="0.25">
      <c r="B39" s="124" t="s">
        <v>19</v>
      </c>
      <c r="C39" s="27" t="s">
        <v>18</v>
      </c>
      <c r="D39" s="67" t="s">
        <v>298</v>
      </c>
      <c r="E39" s="27">
        <v>49485</v>
      </c>
      <c r="F39" s="13">
        <v>1985518</v>
      </c>
      <c r="G39" s="71">
        <v>300</v>
      </c>
      <c r="H39" s="130">
        <v>0.25</v>
      </c>
      <c r="I39" s="12">
        <f t="shared" si="1"/>
        <v>75</v>
      </c>
    </row>
    <row r="40" spans="2:10" ht="18" customHeight="1" thickBot="1" x14ac:dyDescent="0.3">
      <c r="B40" s="125" t="s">
        <v>60</v>
      </c>
      <c r="C40" s="88" t="s">
        <v>72</v>
      </c>
      <c r="D40" s="127" t="s">
        <v>298</v>
      </c>
      <c r="E40" s="88">
        <v>49186</v>
      </c>
      <c r="F40" s="8">
        <v>1985526</v>
      </c>
      <c r="G40" s="128">
        <v>300</v>
      </c>
      <c r="H40" s="131">
        <v>0.25</v>
      </c>
      <c r="I40" s="7">
        <f t="shared" si="1"/>
        <v>75</v>
      </c>
    </row>
    <row r="41" spans="2:10" ht="15.75" x14ac:dyDescent="0.25">
      <c r="B41" s="16" t="s">
        <v>3</v>
      </c>
      <c r="C41" s="15"/>
      <c r="D41" s="15"/>
      <c r="E41" s="15"/>
      <c r="F41" s="15"/>
      <c r="G41" s="14"/>
      <c r="H41" s="29">
        <v>800</v>
      </c>
      <c r="I41" s="64">
        <v>800</v>
      </c>
    </row>
    <row r="42" spans="2:10" ht="15.75" x14ac:dyDescent="0.25">
      <c r="B42" s="16" t="s">
        <v>2</v>
      </c>
      <c r="C42" s="15"/>
      <c r="D42" s="15"/>
      <c r="E42" s="15"/>
      <c r="F42" s="15"/>
      <c r="G42" s="14"/>
      <c r="H42" s="13">
        <v>250</v>
      </c>
      <c r="I42" s="12">
        <v>250</v>
      </c>
    </row>
    <row r="43" spans="2:10" ht="16.5" thickBot="1" x14ac:dyDescent="0.3">
      <c r="B43" s="11" t="s">
        <v>1</v>
      </c>
      <c r="C43" s="10"/>
      <c r="D43" s="10"/>
      <c r="E43" s="10"/>
      <c r="F43" s="10"/>
      <c r="G43" s="9"/>
      <c r="H43" s="8">
        <v>450</v>
      </c>
      <c r="I43" s="7">
        <v>450</v>
      </c>
    </row>
    <row r="44" spans="2:10" ht="15.75" thickBot="1" x14ac:dyDescent="0.3">
      <c r="B44" s="164" t="s">
        <v>0</v>
      </c>
      <c r="C44" s="165"/>
      <c r="D44" s="165"/>
      <c r="E44" s="165"/>
      <c r="F44" s="165"/>
      <c r="G44" s="165"/>
      <c r="H44" s="165"/>
      <c r="I44" s="166"/>
    </row>
    <row r="45" spans="2:10" ht="29.25" thickBot="1" x14ac:dyDescent="0.5">
      <c r="B45" s="146"/>
      <c r="C45" s="147"/>
      <c r="D45" s="147"/>
      <c r="E45" s="147"/>
      <c r="F45" s="148"/>
      <c r="G45" s="83">
        <f>SUM(G16:G40)</f>
        <v>357100</v>
      </c>
      <c r="H45" s="82"/>
      <c r="I45" s="81">
        <f>SUM(I16:I43)</f>
        <v>57905.74000000002</v>
      </c>
    </row>
    <row r="47" spans="2:10" x14ac:dyDescent="0.2">
      <c r="D47" s="3"/>
      <c r="G47" s="122"/>
      <c r="I47" s="3"/>
    </row>
    <row r="50" spans="4:9" x14ac:dyDescent="0.2">
      <c r="I50" s="3"/>
    </row>
    <row r="51" spans="4:9" x14ac:dyDescent="0.2">
      <c r="D51" s="2"/>
    </row>
  </sheetData>
  <mergeCells count="7">
    <mergeCell ref="B45:F45"/>
    <mergeCell ref="A1:I1"/>
    <mergeCell ref="A2:B3"/>
    <mergeCell ref="C2:G3"/>
    <mergeCell ref="B13:C13"/>
    <mergeCell ref="H13:I13"/>
    <mergeCell ref="B44:I44"/>
  </mergeCells>
  <phoneticPr fontId="27" type="noConversion"/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B20FC-4A2D-4128-A496-C11A8BE1EA50}">
  <sheetPr>
    <pageSetUpPr fitToPage="1"/>
  </sheetPr>
  <dimension ref="A1:L47"/>
  <sheetViews>
    <sheetView topLeftCell="D34" zoomScale="121" zoomScaleNormal="121" workbookViewId="0">
      <selection activeCell="B36" sqref="B36:I36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285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284</v>
      </c>
      <c r="C13" s="162"/>
      <c r="D13" s="42"/>
      <c r="E13" s="41"/>
      <c r="F13" s="41"/>
      <c r="G13" s="41"/>
      <c r="H13" s="163" t="s">
        <v>295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2" t="s">
        <v>25</v>
      </c>
      <c r="C16" s="109" t="s">
        <v>24</v>
      </c>
      <c r="D16" s="133" t="s">
        <v>293</v>
      </c>
      <c r="E16" s="109">
        <v>48770</v>
      </c>
      <c r="F16" s="134">
        <v>1970324</v>
      </c>
      <c r="G16" s="137">
        <v>100000</v>
      </c>
      <c r="H16" s="135">
        <v>9.1200000000000003E-2</v>
      </c>
      <c r="I16" s="136">
        <f t="shared" ref="I16:I18" si="0">G16*H16</f>
        <v>9120</v>
      </c>
    </row>
    <row r="17" spans="2:12" ht="18" customHeight="1" x14ac:dyDescent="0.25">
      <c r="B17" s="124" t="s">
        <v>25</v>
      </c>
      <c r="C17" s="27" t="s">
        <v>24</v>
      </c>
      <c r="D17" s="67" t="s">
        <v>293</v>
      </c>
      <c r="E17" s="27">
        <v>48771</v>
      </c>
      <c r="F17" s="13">
        <v>1970332</v>
      </c>
      <c r="G17" s="71">
        <v>77400</v>
      </c>
      <c r="H17" s="130">
        <v>9.1200000000000003E-2</v>
      </c>
      <c r="I17" s="12">
        <f t="shared" si="0"/>
        <v>7058.88</v>
      </c>
    </row>
    <row r="18" spans="2:12" ht="18" customHeight="1" x14ac:dyDescent="0.25">
      <c r="B18" s="124" t="s">
        <v>21</v>
      </c>
      <c r="C18" s="27" t="s">
        <v>20</v>
      </c>
      <c r="D18" s="67" t="s">
        <v>294</v>
      </c>
      <c r="E18" s="27">
        <v>48315</v>
      </c>
      <c r="F18" s="13">
        <v>1955925</v>
      </c>
      <c r="G18" s="71">
        <v>64000</v>
      </c>
      <c r="H18" s="130">
        <v>0.17480000000000001</v>
      </c>
      <c r="I18" s="12">
        <f t="shared" si="0"/>
        <v>11187.2</v>
      </c>
    </row>
    <row r="19" spans="2:12" ht="18" customHeight="1" x14ac:dyDescent="0.25">
      <c r="B19" s="124" t="s">
        <v>230</v>
      </c>
      <c r="C19" s="27" t="s">
        <v>232</v>
      </c>
      <c r="D19" s="67" t="s">
        <v>293</v>
      </c>
      <c r="E19" s="27">
        <v>48009</v>
      </c>
      <c r="F19" s="13">
        <v>1943588</v>
      </c>
      <c r="G19" s="71">
        <v>56000</v>
      </c>
      <c r="H19" s="130">
        <v>0.13800000000000001</v>
      </c>
      <c r="I19" s="12">
        <f>G19*H19</f>
        <v>7728.0000000000009</v>
      </c>
    </row>
    <row r="20" spans="2:12" ht="18" customHeight="1" x14ac:dyDescent="0.25">
      <c r="B20" s="124" t="s">
        <v>14</v>
      </c>
      <c r="C20" s="27" t="s">
        <v>13</v>
      </c>
      <c r="D20" s="67" t="s">
        <v>294</v>
      </c>
      <c r="E20" s="27">
        <v>48802</v>
      </c>
      <c r="F20" s="13">
        <v>1971685</v>
      </c>
      <c r="G20" s="71">
        <v>36000</v>
      </c>
      <c r="H20" s="130">
        <v>0.17519999999999999</v>
      </c>
      <c r="I20" s="12">
        <f t="shared" ref="I20" si="1">G20*H20</f>
        <v>6307.2</v>
      </c>
      <c r="J20" s="122"/>
    </row>
    <row r="21" spans="2:12" ht="18" customHeight="1" x14ac:dyDescent="0.25">
      <c r="B21" s="124" t="s">
        <v>60</v>
      </c>
      <c r="C21" s="27" t="s">
        <v>72</v>
      </c>
      <c r="D21" s="67" t="s">
        <v>294</v>
      </c>
      <c r="E21" s="27">
        <v>48327</v>
      </c>
      <c r="F21" s="13">
        <v>1956071</v>
      </c>
      <c r="G21" s="71">
        <v>31300</v>
      </c>
      <c r="H21" s="130">
        <v>0.14990000000000001</v>
      </c>
      <c r="I21" s="12">
        <f t="shared" ref="I21" si="2">G21*H21</f>
        <v>4691.87</v>
      </c>
    </row>
    <row r="22" spans="2:12" ht="18" customHeight="1" x14ac:dyDescent="0.25">
      <c r="B22" s="124" t="s">
        <v>168</v>
      </c>
      <c r="C22" s="27" t="s">
        <v>167</v>
      </c>
      <c r="D22" s="67" t="s">
        <v>294</v>
      </c>
      <c r="E22" s="27">
        <v>48999</v>
      </c>
      <c r="F22" s="13">
        <v>1979935</v>
      </c>
      <c r="G22" s="71">
        <v>20100</v>
      </c>
      <c r="H22" s="130">
        <v>0.14580000000000001</v>
      </c>
      <c r="I22" s="12">
        <f t="shared" ref="I22:I36" si="3">G22*H22</f>
        <v>2930.5800000000004</v>
      </c>
      <c r="L22" s="3"/>
    </row>
    <row r="23" spans="2:12" ht="18" customHeight="1" x14ac:dyDescent="0.25">
      <c r="B23" s="124" t="s">
        <v>97</v>
      </c>
      <c r="C23" s="27" t="s">
        <v>110</v>
      </c>
      <c r="D23" s="67" t="s">
        <v>294</v>
      </c>
      <c r="E23" s="27">
        <v>48836</v>
      </c>
      <c r="F23" s="13">
        <v>1972688</v>
      </c>
      <c r="G23" s="71">
        <v>20000</v>
      </c>
      <c r="H23" s="130">
        <v>0.15190000000000001</v>
      </c>
      <c r="I23" s="12">
        <f t="shared" si="3"/>
        <v>3038</v>
      </c>
    </row>
    <row r="24" spans="2:12" ht="18" customHeight="1" x14ac:dyDescent="0.25">
      <c r="B24" s="124" t="s">
        <v>62</v>
      </c>
      <c r="C24" s="27" t="s">
        <v>74</v>
      </c>
      <c r="D24" s="67" t="s">
        <v>294</v>
      </c>
      <c r="E24" s="27">
        <v>48656</v>
      </c>
      <c r="F24" s="13">
        <v>1966755</v>
      </c>
      <c r="G24" s="71">
        <v>20000</v>
      </c>
      <c r="H24" s="130">
        <v>0.16009999999999999</v>
      </c>
      <c r="I24" s="12">
        <f t="shared" si="3"/>
        <v>3202</v>
      </c>
    </row>
    <row r="25" spans="2:12" ht="18" customHeight="1" x14ac:dyDescent="0.25">
      <c r="B25" s="124" t="s">
        <v>97</v>
      </c>
      <c r="C25" s="27" t="s">
        <v>110</v>
      </c>
      <c r="D25" s="67" t="s">
        <v>294</v>
      </c>
      <c r="E25" s="27">
        <v>48838</v>
      </c>
      <c r="F25" s="13">
        <v>1972709</v>
      </c>
      <c r="G25" s="71">
        <v>18000</v>
      </c>
      <c r="H25" s="130">
        <v>0.15190000000000001</v>
      </c>
      <c r="I25" s="12">
        <f t="shared" ref="I25:I26" si="4">G25*H25</f>
        <v>2734.2000000000003</v>
      </c>
    </row>
    <row r="26" spans="2:12" ht="18" customHeight="1" x14ac:dyDescent="0.25">
      <c r="B26" s="124" t="s">
        <v>17</v>
      </c>
      <c r="C26" s="27" t="s">
        <v>16</v>
      </c>
      <c r="D26" s="67" t="s">
        <v>293</v>
      </c>
      <c r="E26" s="27">
        <v>49096</v>
      </c>
      <c r="F26" s="13">
        <v>1982667</v>
      </c>
      <c r="G26" s="71">
        <v>17600</v>
      </c>
      <c r="H26" s="130">
        <v>0.16059999999999999</v>
      </c>
      <c r="I26" s="12">
        <f t="shared" si="4"/>
        <v>2826.56</v>
      </c>
    </row>
    <row r="27" spans="2:12" ht="18" customHeight="1" x14ac:dyDescent="0.25">
      <c r="B27" s="124" t="s">
        <v>23</v>
      </c>
      <c r="C27" s="27" t="s">
        <v>22</v>
      </c>
      <c r="D27" s="67" t="s">
        <v>293</v>
      </c>
      <c r="E27" s="27">
        <v>48409</v>
      </c>
      <c r="F27" s="13">
        <v>1958966</v>
      </c>
      <c r="G27" s="71">
        <v>15500</v>
      </c>
      <c r="H27" s="130">
        <v>0.13800000000000001</v>
      </c>
      <c r="I27" s="12">
        <f t="shared" si="3"/>
        <v>2139</v>
      </c>
      <c r="J27" s="121"/>
    </row>
    <row r="28" spans="2:12" ht="18" customHeight="1" x14ac:dyDescent="0.25">
      <c r="B28" s="124" t="s">
        <v>286</v>
      </c>
      <c r="C28" s="27" t="s">
        <v>290</v>
      </c>
      <c r="D28" s="67" t="s">
        <v>294</v>
      </c>
      <c r="E28" s="27">
        <v>48848</v>
      </c>
      <c r="F28" s="13">
        <v>1972813</v>
      </c>
      <c r="G28" s="71">
        <v>12000</v>
      </c>
      <c r="H28" s="130">
        <v>0.1129</v>
      </c>
      <c r="I28" s="12">
        <f t="shared" si="3"/>
        <v>1354.8</v>
      </c>
    </row>
    <row r="29" spans="2:12" ht="18" customHeight="1" x14ac:dyDescent="0.25">
      <c r="B29" s="124" t="s">
        <v>12</v>
      </c>
      <c r="C29" s="27" t="s">
        <v>11</v>
      </c>
      <c r="D29" s="67" t="s">
        <v>294</v>
      </c>
      <c r="E29" s="27">
        <v>48844</v>
      </c>
      <c r="F29" s="13">
        <v>1972776</v>
      </c>
      <c r="G29" s="71">
        <v>11000</v>
      </c>
      <c r="H29" s="130">
        <v>0.21529999999999999</v>
      </c>
      <c r="I29" s="12">
        <f t="shared" si="3"/>
        <v>2368.2999999999997</v>
      </c>
    </row>
    <row r="30" spans="2:12" ht="18" customHeight="1" x14ac:dyDescent="0.25">
      <c r="B30" s="124" t="s">
        <v>121</v>
      </c>
      <c r="C30" s="27" t="s">
        <v>136</v>
      </c>
      <c r="D30" s="67" t="s">
        <v>293</v>
      </c>
      <c r="E30" s="27">
        <v>48891</v>
      </c>
      <c r="F30" s="13">
        <v>1975205</v>
      </c>
      <c r="G30" s="71">
        <v>9300</v>
      </c>
      <c r="H30" s="130">
        <v>8.1299999999999997E-2</v>
      </c>
      <c r="I30" s="12">
        <f t="shared" si="3"/>
        <v>756.08999999999992</v>
      </c>
    </row>
    <row r="31" spans="2:12" ht="18" customHeight="1" x14ac:dyDescent="0.25">
      <c r="B31" s="124" t="s">
        <v>92</v>
      </c>
      <c r="C31" s="27" t="s">
        <v>104</v>
      </c>
      <c r="D31" s="67" t="s">
        <v>293</v>
      </c>
      <c r="E31" s="27">
        <v>48653</v>
      </c>
      <c r="F31" s="13">
        <v>1966721</v>
      </c>
      <c r="G31" s="71">
        <v>6000</v>
      </c>
      <c r="H31" s="130">
        <v>0.1694</v>
      </c>
      <c r="I31" s="12">
        <f t="shared" ref="I31" si="5">G31*H31</f>
        <v>1016.4</v>
      </c>
    </row>
    <row r="32" spans="2:12" ht="18" customHeight="1" x14ac:dyDescent="0.25">
      <c r="B32" s="124" t="s">
        <v>209</v>
      </c>
      <c r="C32" s="27" t="s">
        <v>210</v>
      </c>
      <c r="D32" s="67" t="s">
        <v>294</v>
      </c>
      <c r="E32" s="27">
        <v>48748</v>
      </c>
      <c r="F32" s="13">
        <v>1970121</v>
      </c>
      <c r="G32" s="71">
        <v>1200</v>
      </c>
      <c r="H32" s="130">
        <v>0.14860000000000001</v>
      </c>
      <c r="I32" s="12">
        <f t="shared" si="3"/>
        <v>178.32000000000002</v>
      </c>
      <c r="J32" s="3"/>
    </row>
    <row r="33" spans="2:9" ht="18" customHeight="1" x14ac:dyDescent="0.25">
      <c r="B33" s="124" t="s">
        <v>287</v>
      </c>
      <c r="C33" s="27" t="s">
        <v>291</v>
      </c>
      <c r="D33" s="67" t="s">
        <v>294</v>
      </c>
      <c r="E33" s="27">
        <v>48842</v>
      </c>
      <c r="F33" s="13">
        <v>1972741</v>
      </c>
      <c r="G33" s="71">
        <v>1000</v>
      </c>
      <c r="H33" s="130">
        <v>0.24590000000000001</v>
      </c>
      <c r="I33" s="12">
        <f t="shared" si="3"/>
        <v>245.9</v>
      </c>
    </row>
    <row r="34" spans="2:9" ht="18" customHeight="1" x14ac:dyDescent="0.25">
      <c r="B34" s="124" t="s">
        <v>288</v>
      </c>
      <c r="C34" s="27" t="s">
        <v>292</v>
      </c>
      <c r="D34" s="67" t="s">
        <v>294</v>
      </c>
      <c r="E34" s="27">
        <v>48958</v>
      </c>
      <c r="F34" s="13">
        <v>1977331</v>
      </c>
      <c r="G34" s="71">
        <v>1000</v>
      </c>
      <c r="H34" s="130">
        <v>0.21529999999999999</v>
      </c>
      <c r="I34" s="12">
        <f t="shared" si="3"/>
        <v>215.29999999999998</v>
      </c>
    </row>
    <row r="35" spans="2:9" ht="18" customHeight="1" x14ac:dyDescent="0.25">
      <c r="B35" s="124" t="s">
        <v>95</v>
      </c>
      <c r="C35" s="27" t="s">
        <v>108</v>
      </c>
      <c r="D35" s="67" t="s">
        <v>294</v>
      </c>
      <c r="E35" s="27">
        <v>48892</v>
      </c>
      <c r="F35" s="13">
        <v>1975213</v>
      </c>
      <c r="G35" s="71">
        <v>1000</v>
      </c>
      <c r="H35" s="130">
        <v>0.22839999999999999</v>
      </c>
      <c r="I35" s="12">
        <f t="shared" si="3"/>
        <v>228.4</v>
      </c>
    </row>
    <row r="36" spans="2:9" ht="18" customHeight="1" thickBot="1" x14ac:dyDescent="0.3">
      <c r="B36" s="125" t="s">
        <v>289</v>
      </c>
      <c r="C36" s="88" t="s">
        <v>5</v>
      </c>
      <c r="D36" s="127" t="s">
        <v>294</v>
      </c>
      <c r="E36" s="88">
        <v>48180</v>
      </c>
      <c r="F36" s="8">
        <v>1950892</v>
      </c>
      <c r="G36" s="128">
        <v>700</v>
      </c>
      <c r="H36" s="131">
        <v>0.18160000000000001</v>
      </c>
      <c r="I36" s="7">
        <f t="shared" si="3"/>
        <v>127.12</v>
      </c>
    </row>
    <row r="37" spans="2:9" ht="15.75" x14ac:dyDescent="0.25">
      <c r="B37" s="16" t="s">
        <v>3</v>
      </c>
      <c r="C37" s="15"/>
      <c r="D37" s="15"/>
      <c r="E37" s="15"/>
      <c r="F37" s="15"/>
      <c r="G37" s="14"/>
      <c r="H37" s="29">
        <v>800</v>
      </c>
      <c r="I37" s="64">
        <v>800</v>
      </c>
    </row>
    <row r="38" spans="2:9" ht="15.75" x14ac:dyDescent="0.25">
      <c r="B38" s="16" t="s">
        <v>2</v>
      </c>
      <c r="C38" s="15"/>
      <c r="D38" s="15"/>
      <c r="E38" s="15"/>
      <c r="F38" s="15"/>
      <c r="G38" s="14"/>
      <c r="H38" s="13">
        <v>250</v>
      </c>
      <c r="I38" s="12">
        <v>250</v>
      </c>
    </row>
    <row r="39" spans="2:9" ht="16.5" thickBot="1" x14ac:dyDescent="0.3">
      <c r="B39" s="11" t="s">
        <v>1</v>
      </c>
      <c r="C39" s="10"/>
      <c r="D39" s="10"/>
      <c r="E39" s="10"/>
      <c r="F39" s="10"/>
      <c r="G39" s="9"/>
      <c r="H39" s="8">
        <v>450</v>
      </c>
      <c r="I39" s="7">
        <v>450</v>
      </c>
    </row>
    <row r="40" spans="2:9" ht="15.75" thickBot="1" x14ac:dyDescent="0.3">
      <c r="B40" s="164" t="s">
        <v>0</v>
      </c>
      <c r="C40" s="165"/>
      <c r="D40" s="165"/>
      <c r="E40" s="165"/>
      <c r="F40" s="165"/>
      <c r="G40" s="165"/>
      <c r="H40" s="165"/>
      <c r="I40" s="166"/>
    </row>
    <row r="41" spans="2:9" ht="29.25" thickBot="1" x14ac:dyDescent="0.5">
      <c r="B41" s="146"/>
      <c r="C41" s="147"/>
      <c r="D41" s="147"/>
      <c r="E41" s="147"/>
      <c r="F41" s="148"/>
      <c r="G41" s="83">
        <f>SUM(G16:G36)</f>
        <v>519100</v>
      </c>
      <c r="H41" s="82"/>
      <c r="I41" s="81">
        <f>SUM(I16:I39)</f>
        <v>70954.119999999981</v>
      </c>
    </row>
    <row r="43" spans="2:9" x14ac:dyDescent="0.2">
      <c r="D43" s="3"/>
      <c r="G43" s="122"/>
      <c r="I43" s="3"/>
    </row>
    <row r="46" spans="2:9" x14ac:dyDescent="0.2">
      <c r="I46" s="3"/>
    </row>
    <row r="47" spans="2:9" x14ac:dyDescent="0.2">
      <c r="D47" s="2"/>
    </row>
  </sheetData>
  <mergeCells count="7">
    <mergeCell ref="B41:F41"/>
    <mergeCell ref="A1:I1"/>
    <mergeCell ref="A2:B3"/>
    <mergeCell ref="C2:G3"/>
    <mergeCell ref="B13:C13"/>
    <mergeCell ref="H13:I13"/>
    <mergeCell ref="B40:I40"/>
  </mergeCells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9A98-3F5D-4269-A97A-8DBBCAA2B785}">
  <sheetPr>
    <pageSetUpPr fitToPage="1"/>
  </sheetPr>
  <dimension ref="A1:J55"/>
  <sheetViews>
    <sheetView topLeftCell="E40" zoomScale="121" zoomScaleNormal="121" workbookViewId="0">
      <selection activeCell="C33" sqref="C33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273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283</v>
      </c>
      <c r="C13" s="162"/>
      <c r="D13" s="42"/>
      <c r="E13" s="41"/>
      <c r="F13" s="41"/>
      <c r="G13" s="41"/>
      <c r="H13" s="163" t="s">
        <v>274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132" t="s">
        <v>25</v>
      </c>
      <c r="C16" s="109" t="s">
        <v>24</v>
      </c>
      <c r="D16" s="133" t="s">
        <v>278</v>
      </c>
      <c r="E16" s="109">
        <v>49039</v>
      </c>
      <c r="F16" s="134">
        <v>1980303</v>
      </c>
      <c r="G16" s="137">
        <v>100000</v>
      </c>
      <c r="H16" s="135">
        <v>9.1200000000000003E-2</v>
      </c>
      <c r="I16" s="136">
        <f t="shared" ref="I16" si="0">G16*H16</f>
        <v>9120</v>
      </c>
    </row>
    <row r="17" spans="2:10" ht="18" customHeight="1" x14ac:dyDescent="0.25">
      <c r="B17" s="124" t="s">
        <v>23</v>
      </c>
      <c r="C17" s="27" t="s">
        <v>22</v>
      </c>
      <c r="D17" s="67" t="s">
        <v>278</v>
      </c>
      <c r="E17" s="27">
        <v>48409</v>
      </c>
      <c r="F17" s="13">
        <v>1958966</v>
      </c>
      <c r="G17" s="71">
        <v>84500</v>
      </c>
      <c r="H17" s="130">
        <v>0.13800000000000001</v>
      </c>
      <c r="I17" s="12">
        <f>G17*H17</f>
        <v>11661.000000000002</v>
      </c>
    </row>
    <row r="18" spans="2:10" ht="18" customHeight="1" x14ac:dyDescent="0.25">
      <c r="B18" s="124" t="s">
        <v>19</v>
      </c>
      <c r="C18" s="27" t="s">
        <v>18</v>
      </c>
      <c r="D18" s="67" t="s">
        <v>279</v>
      </c>
      <c r="E18" s="27">
        <v>47173</v>
      </c>
      <c r="F18" s="13">
        <v>1913240</v>
      </c>
      <c r="G18" s="71">
        <v>66000</v>
      </c>
      <c r="H18" s="130">
        <v>0.16830000000000001</v>
      </c>
      <c r="I18" s="12">
        <f t="shared" ref="I18:I44" si="1">G18*H18</f>
        <v>11107.800000000001</v>
      </c>
      <c r="J18" s="122"/>
    </row>
    <row r="19" spans="2:10" ht="18" customHeight="1" x14ac:dyDescent="0.25">
      <c r="B19" s="124" t="s">
        <v>25</v>
      </c>
      <c r="C19" s="27" t="s">
        <v>24</v>
      </c>
      <c r="D19" s="67" t="s">
        <v>278</v>
      </c>
      <c r="E19" s="27">
        <v>48565</v>
      </c>
      <c r="F19" s="13">
        <v>1963095</v>
      </c>
      <c r="G19" s="71">
        <v>48700</v>
      </c>
      <c r="H19" s="130">
        <v>9.1200000000000003E-2</v>
      </c>
      <c r="I19" s="12">
        <f t="shared" si="1"/>
        <v>4441.4400000000005</v>
      </c>
    </row>
    <row r="20" spans="2:10" ht="18" customHeight="1" x14ac:dyDescent="0.25">
      <c r="B20" s="124" t="s">
        <v>21</v>
      </c>
      <c r="C20" s="27" t="s">
        <v>20</v>
      </c>
      <c r="D20" s="67" t="s">
        <v>279</v>
      </c>
      <c r="E20" s="27">
        <v>48315</v>
      </c>
      <c r="F20" s="13">
        <v>1955925</v>
      </c>
      <c r="G20" s="71">
        <v>36000</v>
      </c>
      <c r="H20" s="130">
        <v>0.17480000000000001</v>
      </c>
      <c r="I20" s="12">
        <f t="shared" si="1"/>
        <v>6292.8</v>
      </c>
    </row>
    <row r="21" spans="2:10" ht="18" customHeight="1" x14ac:dyDescent="0.25">
      <c r="B21" s="124" t="s">
        <v>61</v>
      </c>
      <c r="C21" s="27" t="s">
        <v>73</v>
      </c>
      <c r="D21" s="67" t="s">
        <v>279</v>
      </c>
      <c r="E21" s="27">
        <v>48381</v>
      </c>
      <c r="F21" s="13">
        <v>1958421</v>
      </c>
      <c r="G21" s="71">
        <v>20000</v>
      </c>
      <c r="H21" s="130">
        <v>0.2276</v>
      </c>
      <c r="I21" s="12">
        <f t="shared" si="1"/>
        <v>4552</v>
      </c>
    </row>
    <row r="22" spans="2:10" ht="18" customHeight="1" x14ac:dyDescent="0.25">
      <c r="B22" s="124" t="s">
        <v>97</v>
      </c>
      <c r="C22" s="27" t="s">
        <v>110</v>
      </c>
      <c r="D22" s="67" t="s">
        <v>279</v>
      </c>
      <c r="E22" s="27">
        <v>48772</v>
      </c>
      <c r="F22" s="13">
        <v>1970341</v>
      </c>
      <c r="G22" s="71">
        <v>20000</v>
      </c>
      <c r="H22" s="130">
        <v>0.15190000000000001</v>
      </c>
      <c r="I22" s="12">
        <f t="shared" si="1"/>
        <v>3038</v>
      </c>
    </row>
    <row r="23" spans="2:10" ht="18" customHeight="1" x14ac:dyDescent="0.25">
      <c r="B23" s="124" t="s">
        <v>97</v>
      </c>
      <c r="C23" s="27" t="s">
        <v>110</v>
      </c>
      <c r="D23" s="67" t="s">
        <v>279</v>
      </c>
      <c r="E23" s="27">
        <v>48552</v>
      </c>
      <c r="F23" s="13">
        <v>1962800</v>
      </c>
      <c r="G23" s="71">
        <v>20000</v>
      </c>
      <c r="H23" s="130">
        <v>0.15190000000000001</v>
      </c>
      <c r="I23" s="12">
        <f t="shared" si="1"/>
        <v>3038</v>
      </c>
    </row>
    <row r="24" spans="2:10" ht="18" customHeight="1" x14ac:dyDescent="0.25">
      <c r="B24" s="124" t="s">
        <v>122</v>
      </c>
      <c r="C24" s="27" t="s">
        <v>135</v>
      </c>
      <c r="D24" s="67" t="s">
        <v>279</v>
      </c>
      <c r="E24" s="27">
        <v>48557</v>
      </c>
      <c r="F24" s="13">
        <v>1963001</v>
      </c>
      <c r="G24" s="71">
        <v>20000</v>
      </c>
      <c r="H24" s="130">
        <v>0.2298</v>
      </c>
      <c r="I24" s="12">
        <f t="shared" si="1"/>
        <v>4596</v>
      </c>
    </row>
    <row r="25" spans="2:10" ht="18" customHeight="1" x14ac:dyDescent="0.25">
      <c r="B25" s="124" t="s">
        <v>121</v>
      </c>
      <c r="C25" s="27" t="s">
        <v>136</v>
      </c>
      <c r="D25" s="67" t="s">
        <v>278</v>
      </c>
      <c r="E25" s="27">
        <v>48891</v>
      </c>
      <c r="F25" s="13">
        <v>1975205</v>
      </c>
      <c r="G25" s="71">
        <v>16000</v>
      </c>
      <c r="H25" s="130">
        <v>8.1299999999999997E-2</v>
      </c>
      <c r="I25" s="12">
        <f t="shared" ref="I25" si="2">G25*H25</f>
        <v>1300.8</v>
      </c>
    </row>
    <row r="26" spans="2:10" ht="18" customHeight="1" x14ac:dyDescent="0.25">
      <c r="B26" s="124" t="s">
        <v>169</v>
      </c>
      <c r="C26" s="27" t="s">
        <v>166</v>
      </c>
      <c r="D26" s="67" t="s">
        <v>279</v>
      </c>
      <c r="E26" s="27">
        <v>48545</v>
      </c>
      <c r="F26" s="13">
        <v>1962560</v>
      </c>
      <c r="G26" s="71">
        <v>14000</v>
      </c>
      <c r="H26" s="130">
        <v>0.1477</v>
      </c>
      <c r="I26" s="12">
        <f t="shared" si="1"/>
        <v>2067.8000000000002</v>
      </c>
    </row>
    <row r="27" spans="2:10" ht="18" customHeight="1" x14ac:dyDescent="0.25">
      <c r="B27" s="124" t="s">
        <v>266</v>
      </c>
      <c r="C27" s="27" t="s">
        <v>271</v>
      </c>
      <c r="D27" s="67" t="s">
        <v>279</v>
      </c>
      <c r="E27" s="27">
        <v>48835</v>
      </c>
      <c r="F27" s="13">
        <v>1972670</v>
      </c>
      <c r="G27" s="71">
        <v>12000</v>
      </c>
      <c r="H27" s="130">
        <v>0.14860000000000001</v>
      </c>
      <c r="I27" s="12">
        <f t="shared" si="1"/>
        <v>1783.2</v>
      </c>
      <c r="J27" s="121"/>
    </row>
    <row r="28" spans="2:10" ht="18" customHeight="1" x14ac:dyDescent="0.25">
      <c r="B28" s="124" t="s">
        <v>64</v>
      </c>
      <c r="C28" s="27" t="s">
        <v>76</v>
      </c>
      <c r="D28" s="67" t="s">
        <v>279</v>
      </c>
      <c r="E28" s="27">
        <v>48763</v>
      </c>
      <c r="F28" s="13">
        <v>1970279</v>
      </c>
      <c r="G28" s="71">
        <v>11000</v>
      </c>
      <c r="H28" s="130">
        <v>0.20119999999999999</v>
      </c>
      <c r="I28" s="12">
        <f t="shared" si="1"/>
        <v>2213.1999999999998</v>
      </c>
      <c r="J28" s="121"/>
    </row>
    <row r="29" spans="2:10" ht="18" customHeight="1" x14ac:dyDescent="0.25">
      <c r="B29" s="124" t="s">
        <v>275</v>
      </c>
      <c r="C29" s="27" t="s">
        <v>282</v>
      </c>
      <c r="D29" s="67" t="s">
        <v>279</v>
      </c>
      <c r="E29" s="27">
        <v>48003</v>
      </c>
      <c r="F29" s="13">
        <v>1943529</v>
      </c>
      <c r="G29" s="71">
        <v>11000</v>
      </c>
      <c r="H29" s="130">
        <v>0.20119999999999999</v>
      </c>
      <c r="I29" s="12">
        <f t="shared" si="1"/>
        <v>2213.1999999999998</v>
      </c>
    </row>
    <row r="30" spans="2:10" ht="18" customHeight="1" x14ac:dyDescent="0.25">
      <c r="B30" s="124" t="s">
        <v>65</v>
      </c>
      <c r="C30" s="27" t="s">
        <v>77</v>
      </c>
      <c r="D30" s="67" t="s">
        <v>279</v>
      </c>
      <c r="E30" s="27">
        <v>48762</v>
      </c>
      <c r="F30" s="13">
        <v>1970261</v>
      </c>
      <c r="G30" s="71">
        <v>11000</v>
      </c>
      <c r="H30" s="130">
        <v>0.2223</v>
      </c>
      <c r="I30" s="12">
        <f t="shared" si="1"/>
        <v>2445.3000000000002</v>
      </c>
    </row>
    <row r="31" spans="2:10" ht="18" customHeight="1" x14ac:dyDescent="0.25">
      <c r="B31" s="124" t="s">
        <v>209</v>
      </c>
      <c r="C31" s="27" t="s">
        <v>210</v>
      </c>
      <c r="D31" s="67" t="s">
        <v>279</v>
      </c>
      <c r="E31" s="27">
        <v>48748</v>
      </c>
      <c r="F31" s="13">
        <v>1970121</v>
      </c>
      <c r="G31" s="71">
        <v>10800</v>
      </c>
      <c r="H31" s="130">
        <v>0.14860000000000001</v>
      </c>
      <c r="I31" s="12">
        <f t="shared" ref="I31" si="3">G31*H31</f>
        <v>1604.88</v>
      </c>
    </row>
    <row r="32" spans="2:10" ht="18" customHeight="1" x14ac:dyDescent="0.25">
      <c r="B32" s="124" t="s">
        <v>23</v>
      </c>
      <c r="C32" s="27" t="s">
        <v>22</v>
      </c>
      <c r="D32" s="67" t="s">
        <v>278</v>
      </c>
      <c r="E32" s="27">
        <v>48408</v>
      </c>
      <c r="F32" s="13">
        <v>1958958</v>
      </c>
      <c r="G32" s="71">
        <v>10600</v>
      </c>
      <c r="H32" s="130">
        <v>0.13800000000000001</v>
      </c>
      <c r="I32" s="12">
        <f t="shared" si="1"/>
        <v>1462.8000000000002</v>
      </c>
      <c r="J32" s="121"/>
    </row>
    <row r="33" spans="2:10" ht="18" customHeight="1" x14ac:dyDescent="0.25">
      <c r="B33" s="124" t="s">
        <v>125</v>
      </c>
      <c r="C33" s="27" t="s">
        <v>132</v>
      </c>
      <c r="D33" s="67" t="s">
        <v>279</v>
      </c>
      <c r="E33" s="27">
        <v>48544</v>
      </c>
      <c r="F33" s="13">
        <v>1962455</v>
      </c>
      <c r="G33" s="71">
        <v>10000</v>
      </c>
      <c r="H33" s="130">
        <v>0.15909999999999999</v>
      </c>
      <c r="I33" s="12">
        <f t="shared" si="1"/>
        <v>1591</v>
      </c>
      <c r="J33" s="3"/>
    </row>
    <row r="34" spans="2:10" ht="18" customHeight="1" x14ac:dyDescent="0.25">
      <c r="B34" s="124" t="s">
        <v>62</v>
      </c>
      <c r="C34" s="27" t="s">
        <v>74</v>
      </c>
      <c r="D34" s="67" t="s">
        <v>279</v>
      </c>
      <c r="E34" s="27">
        <v>48658</v>
      </c>
      <c r="F34" s="13">
        <v>1966771</v>
      </c>
      <c r="G34" s="71">
        <v>8600</v>
      </c>
      <c r="H34" s="130">
        <v>0.16009999999999999</v>
      </c>
      <c r="I34" s="12">
        <f t="shared" si="1"/>
        <v>1376.86</v>
      </c>
    </row>
    <row r="35" spans="2:10" ht="18" customHeight="1" x14ac:dyDescent="0.25">
      <c r="B35" s="124" t="s">
        <v>276</v>
      </c>
      <c r="C35" s="27" t="s">
        <v>281</v>
      </c>
      <c r="D35" s="67" t="s">
        <v>279</v>
      </c>
      <c r="E35" s="27">
        <v>48790</v>
      </c>
      <c r="F35" s="13">
        <v>1971298</v>
      </c>
      <c r="G35" s="71">
        <v>6000</v>
      </c>
      <c r="H35" s="130">
        <v>0.15290000000000001</v>
      </c>
      <c r="I35" s="12">
        <f t="shared" si="1"/>
        <v>917.40000000000009</v>
      </c>
    </row>
    <row r="36" spans="2:10" ht="18" customHeight="1" x14ac:dyDescent="0.25">
      <c r="B36" s="124" t="s">
        <v>12</v>
      </c>
      <c r="C36" s="27" t="s">
        <v>11</v>
      </c>
      <c r="D36" s="67" t="s">
        <v>279</v>
      </c>
      <c r="E36" s="27">
        <v>48667</v>
      </c>
      <c r="F36" s="13">
        <v>1966886</v>
      </c>
      <c r="G36" s="71">
        <v>5000</v>
      </c>
      <c r="H36" s="130">
        <v>0.21529999999999999</v>
      </c>
      <c r="I36" s="12">
        <f t="shared" si="1"/>
        <v>1076.5</v>
      </c>
    </row>
    <row r="37" spans="2:10" ht="18" customHeight="1" x14ac:dyDescent="0.25">
      <c r="B37" s="124" t="s">
        <v>193</v>
      </c>
      <c r="C37" s="27" t="s">
        <v>201</v>
      </c>
      <c r="D37" s="67" t="s">
        <v>279</v>
      </c>
      <c r="E37" s="27">
        <v>48869</v>
      </c>
      <c r="F37" s="13">
        <v>1973980</v>
      </c>
      <c r="G37" s="71">
        <v>4000</v>
      </c>
      <c r="H37" s="130">
        <v>0.107</v>
      </c>
      <c r="I37" s="12">
        <f t="shared" si="1"/>
        <v>428</v>
      </c>
    </row>
    <row r="38" spans="2:10" ht="18" customHeight="1" x14ac:dyDescent="0.25">
      <c r="B38" s="124" t="s">
        <v>266</v>
      </c>
      <c r="C38" s="27" t="s">
        <v>271</v>
      </c>
      <c r="D38" s="67" t="s">
        <v>279</v>
      </c>
      <c r="E38" s="27">
        <v>48405</v>
      </c>
      <c r="F38" s="13">
        <v>1958827</v>
      </c>
      <c r="G38" s="71">
        <v>3000</v>
      </c>
      <c r="H38" s="130">
        <v>0.159</v>
      </c>
      <c r="I38" s="12">
        <f t="shared" si="1"/>
        <v>477</v>
      </c>
    </row>
    <row r="39" spans="2:10" ht="18" customHeight="1" x14ac:dyDescent="0.25">
      <c r="B39" s="124" t="s">
        <v>21</v>
      </c>
      <c r="C39" s="27" t="s">
        <v>20</v>
      </c>
      <c r="D39" s="67" t="s">
        <v>279</v>
      </c>
      <c r="E39" s="27">
        <v>48053</v>
      </c>
      <c r="F39" s="13">
        <v>1946981</v>
      </c>
      <c r="G39" s="71">
        <v>2700</v>
      </c>
      <c r="H39" s="130">
        <v>0.17480000000000001</v>
      </c>
      <c r="I39" s="12">
        <f t="shared" si="1"/>
        <v>471.96000000000004</v>
      </c>
    </row>
    <row r="40" spans="2:10" ht="18" customHeight="1" x14ac:dyDescent="0.25">
      <c r="B40" s="124" t="s">
        <v>189</v>
      </c>
      <c r="C40" s="27" t="s">
        <v>205</v>
      </c>
      <c r="D40" s="67" t="s">
        <v>279</v>
      </c>
      <c r="E40" s="27">
        <v>48651</v>
      </c>
      <c r="F40" s="13">
        <v>1966704</v>
      </c>
      <c r="G40" s="71">
        <v>2000</v>
      </c>
      <c r="H40" s="130">
        <v>0.1361</v>
      </c>
      <c r="I40" s="12">
        <f t="shared" si="1"/>
        <v>272.2</v>
      </c>
    </row>
    <row r="41" spans="2:10" ht="18" customHeight="1" x14ac:dyDescent="0.25">
      <c r="B41" s="124" t="s">
        <v>144</v>
      </c>
      <c r="C41" s="27" t="s">
        <v>146</v>
      </c>
      <c r="D41" s="67" t="s">
        <v>279</v>
      </c>
      <c r="E41" s="27">
        <v>48849</v>
      </c>
      <c r="F41" s="13">
        <v>1972821</v>
      </c>
      <c r="G41" s="71">
        <v>2100</v>
      </c>
      <c r="H41" s="130">
        <v>0.1431</v>
      </c>
      <c r="I41" s="12">
        <f t="shared" si="1"/>
        <v>300.51</v>
      </c>
    </row>
    <row r="42" spans="2:10" ht="18" customHeight="1" x14ac:dyDescent="0.25">
      <c r="B42" s="124" t="s">
        <v>190</v>
      </c>
      <c r="C42" s="27" t="s">
        <v>204</v>
      </c>
      <c r="D42" s="67" t="s">
        <v>279</v>
      </c>
      <c r="E42" s="27">
        <v>48899</v>
      </c>
      <c r="F42" s="13">
        <v>1975281</v>
      </c>
      <c r="G42" s="71">
        <v>1200</v>
      </c>
      <c r="H42" s="130">
        <v>0.19739999999999999</v>
      </c>
      <c r="I42" s="12">
        <f t="shared" si="1"/>
        <v>236.88</v>
      </c>
    </row>
    <row r="43" spans="2:10" ht="18" customHeight="1" x14ac:dyDescent="0.25">
      <c r="B43" s="124" t="s">
        <v>277</v>
      </c>
      <c r="C43" s="27" t="s">
        <v>280</v>
      </c>
      <c r="D43" s="67" t="s">
        <v>279</v>
      </c>
      <c r="E43" s="27">
        <v>48932</v>
      </c>
      <c r="F43" s="13">
        <v>1976996</v>
      </c>
      <c r="G43" s="71">
        <v>1000</v>
      </c>
      <c r="H43" s="130">
        <v>0.1804</v>
      </c>
      <c r="I43" s="12">
        <f t="shared" si="1"/>
        <v>180.4</v>
      </c>
    </row>
    <row r="44" spans="2:10" ht="18" customHeight="1" thickBot="1" x14ac:dyDescent="0.3">
      <c r="B44" s="125" t="s">
        <v>193</v>
      </c>
      <c r="C44" s="88" t="s">
        <v>201</v>
      </c>
      <c r="D44" s="127" t="s">
        <v>279</v>
      </c>
      <c r="E44" s="88">
        <v>48792</v>
      </c>
      <c r="F44" s="8">
        <v>1971319</v>
      </c>
      <c r="G44" s="128">
        <v>1000</v>
      </c>
      <c r="H44" s="131">
        <v>0.107</v>
      </c>
      <c r="I44" s="7">
        <f t="shared" si="1"/>
        <v>107</v>
      </c>
    </row>
    <row r="45" spans="2:10" ht="15.75" x14ac:dyDescent="0.25">
      <c r="B45" s="16" t="s">
        <v>3</v>
      </c>
      <c r="C45" s="15"/>
      <c r="D45" s="15"/>
      <c r="E45" s="15"/>
      <c r="F45" s="15"/>
      <c r="G45" s="14"/>
      <c r="H45" s="29">
        <v>800</v>
      </c>
      <c r="I45" s="64">
        <v>800</v>
      </c>
    </row>
    <row r="46" spans="2:10" ht="15.75" x14ac:dyDescent="0.25">
      <c r="B46" s="16" t="s">
        <v>2</v>
      </c>
      <c r="C46" s="15"/>
      <c r="D46" s="15"/>
      <c r="E46" s="15"/>
      <c r="F46" s="15"/>
      <c r="G46" s="14"/>
      <c r="H46" s="13">
        <v>250</v>
      </c>
      <c r="I46" s="12">
        <v>250</v>
      </c>
    </row>
    <row r="47" spans="2:10" ht="16.5" thickBot="1" x14ac:dyDescent="0.3">
      <c r="B47" s="11" t="s">
        <v>1</v>
      </c>
      <c r="C47" s="10"/>
      <c r="D47" s="10"/>
      <c r="E47" s="10"/>
      <c r="F47" s="10"/>
      <c r="G47" s="9"/>
      <c r="H47" s="8">
        <v>450</v>
      </c>
      <c r="I47" s="7">
        <v>450</v>
      </c>
    </row>
    <row r="48" spans="2:10" ht="15.75" thickBot="1" x14ac:dyDescent="0.3">
      <c r="B48" s="164" t="s">
        <v>0</v>
      </c>
      <c r="C48" s="165"/>
      <c r="D48" s="165"/>
      <c r="E48" s="165"/>
      <c r="F48" s="165"/>
      <c r="G48" s="165"/>
      <c r="H48" s="165"/>
      <c r="I48" s="166"/>
    </row>
    <row r="49" spans="2:9" ht="29.25" thickBot="1" x14ac:dyDescent="0.5">
      <c r="B49" s="146"/>
      <c r="C49" s="147"/>
      <c r="D49" s="147"/>
      <c r="E49" s="147"/>
      <c r="F49" s="148"/>
      <c r="G49" s="83">
        <f>SUM(G16:G44)</f>
        <v>558200</v>
      </c>
      <c r="H49" s="82"/>
      <c r="I49" s="81">
        <f>SUM(I16:I47)</f>
        <v>81873.930000000008</v>
      </c>
    </row>
    <row r="51" spans="2:9" x14ac:dyDescent="0.2">
      <c r="D51" s="3"/>
      <c r="G51" s="122"/>
      <c r="I51" s="3"/>
    </row>
    <row r="54" spans="2:9" x14ac:dyDescent="0.2">
      <c r="I54" s="3"/>
    </row>
    <row r="55" spans="2:9" x14ac:dyDescent="0.2">
      <c r="D55" s="2"/>
    </row>
  </sheetData>
  <mergeCells count="7">
    <mergeCell ref="B49:F49"/>
    <mergeCell ref="A1:I1"/>
    <mergeCell ref="A2:B3"/>
    <mergeCell ref="C2:G3"/>
    <mergeCell ref="B13:C13"/>
    <mergeCell ref="H13:I13"/>
    <mergeCell ref="B48:I48"/>
  </mergeCells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B5A6-CBA4-44CA-A5CC-C8C210CAF72D}">
  <sheetPr>
    <pageSetUpPr fitToPage="1"/>
  </sheetPr>
  <dimension ref="A1:L49"/>
  <sheetViews>
    <sheetView topLeftCell="D28" zoomScale="121" zoomScaleNormal="121" workbookViewId="0">
      <selection activeCell="H30" sqref="H30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263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261</v>
      </c>
      <c r="C13" s="162"/>
      <c r="D13" s="42"/>
      <c r="E13" s="41"/>
      <c r="F13" s="41"/>
      <c r="G13" s="41"/>
      <c r="H13" s="163" t="s">
        <v>262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8" t="s">
        <v>33</v>
      </c>
      <c r="C15" s="38" t="s">
        <v>32</v>
      </c>
      <c r="D15" s="38" t="s">
        <v>31</v>
      </c>
      <c r="E15" s="105" t="s">
        <v>30</v>
      </c>
      <c r="F15" s="105" t="s">
        <v>29</v>
      </c>
      <c r="G15" s="105" t="s">
        <v>28</v>
      </c>
      <c r="H15" s="38" t="s">
        <v>27</v>
      </c>
      <c r="I15" s="38" t="s">
        <v>26</v>
      </c>
    </row>
    <row r="16" spans="1:10" ht="18" customHeight="1" x14ac:dyDescent="0.25">
      <c r="B16" s="123" t="s">
        <v>25</v>
      </c>
      <c r="C16" s="69" t="s">
        <v>24</v>
      </c>
      <c r="D16" s="126" t="s">
        <v>265</v>
      </c>
      <c r="E16" s="69">
        <v>48689</v>
      </c>
      <c r="F16" s="18">
        <v>1967117</v>
      </c>
      <c r="G16" s="70">
        <v>100000</v>
      </c>
      <c r="H16" s="129">
        <v>9.1200000000000003E-2</v>
      </c>
      <c r="I16" s="17">
        <f>G16*H16</f>
        <v>9120</v>
      </c>
    </row>
    <row r="17" spans="2:12" ht="18" customHeight="1" x14ac:dyDescent="0.25">
      <c r="B17" s="124" t="s">
        <v>23</v>
      </c>
      <c r="C17" s="27" t="s">
        <v>22</v>
      </c>
      <c r="D17" s="67" t="s">
        <v>265</v>
      </c>
      <c r="E17" s="27">
        <v>48408</v>
      </c>
      <c r="F17" s="13">
        <v>1958958</v>
      </c>
      <c r="G17" s="71">
        <v>89400</v>
      </c>
      <c r="H17" s="130">
        <v>0.13800000000000001</v>
      </c>
      <c r="I17" s="12">
        <f t="shared" ref="I17" si="0">G17*H17</f>
        <v>12337.2</v>
      </c>
    </row>
    <row r="18" spans="2:12" ht="18" customHeight="1" x14ac:dyDescent="0.25">
      <c r="B18" s="124" t="s">
        <v>121</v>
      </c>
      <c r="C18" s="27" t="s">
        <v>136</v>
      </c>
      <c r="D18" s="67" t="s">
        <v>265</v>
      </c>
      <c r="E18" s="27">
        <v>48891</v>
      </c>
      <c r="F18" s="13">
        <v>1975205</v>
      </c>
      <c r="G18" s="71">
        <v>74700</v>
      </c>
      <c r="H18" s="130">
        <v>8.1299999999999997E-2</v>
      </c>
      <c r="I18" s="12">
        <f t="shared" ref="I18:I38" si="1">G18*H18</f>
        <v>6073.11</v>
      </c>
      <c r="J18" s="122"/>
    </row>
    <row r="19" spans="2:12" ht="18" customHeight="1" x14ac:dyDescent="0.25">
      <c r="B19" s="124" t="s">
        <v>25</v>
      </c>
      <c r="C19" s="27" t="s">
        <v>24</v>
      </c>
      <c r="D19" s="67" t="s">
        <v>265</v>
      </c>
      <c r="E19" s="27">
        <v>48565</v>
      </c>
      <c r="F19" s="13">
        <v>1963095</v>
      </c>
      <c r="G19" s="71">
        <v>51300</v>
      </c>
      <c r="H19" s="130">
        <v>9.1200000000000003E-2</v>
      </c>
      <c r="I19" s="12">
        <f t="shared" si="1"/>
        <v>4678.5600000000004</v>
      </c>
    </row>
    <row r="20" spans="2:12" ht="18" customHeight="1" x14ac:dyDescent="0.25">
      <c r="B20" s="124" t="s">
        <v>14</v>
      </c>
      <c r="C20" s="27" t="s">
        <v>13</v>
      </c>
      <c r="D20" s="67" t="s">
        <v>264</v>
      </c>
      <c r="E20" s="27">
        <v>48801</v>
      </c>
      <c r="F20" s="13">
        <v>1971677</v>
      </c>
      <c r="G20" s="71">
        <v>36000</v>
      </c>
      <c r="H20" s="130">
        <v>0.17519999999999999</v>
      </c>
      <c r="I20" s="12">
        <f t="shared" ref="I20" si="2">G20*H20</f>
        <v>6307.2</v>
      </c>
    </row>
    <row r="21" spans="2:12" ht="18" customHeight="1" x14ac:dyDescent="0.25">
      <c r="B21" s="124" t="s">
        <v>19</v>
      </c>
      <c r="C21" s="27" t="s">
        <v>18</v>
      </c>
      <c r="D21" s="67" t="s">
        <v>264</v>
      </c>
      <c r="E21" s="27">
        <v>47173</v>
      </c>
      <c r="F21" s="13">
        <v>1913240</v>
      </c>
      <c r="G21" s="71">
        <v>34000</v>
      </c>
      <c r="H21" s="130">
        <v>0.16830000000000001</v>
      </c>
      <c r="I21" s="12">
        <f t="shared" si="1"/>
        <v>5722.2</v>
      </c>
    </row>
    <row r="22" spans="2:12" ht="18" customHeight="1" x14ac:dyDescent="0.25">
      <c r="B22" s="124" t="s">
        <v>143</v>
      </c>
      <c r="C22" s="27" t="s">
        <v>145</v>
      </c>
      <c r="D22" s="67" t="s">
        <v>264</v>
      </c>
      <c r="E22" s="27">
        <v>48566</v>
      </c>
      <c r="F22" s="13">
        <v>1963108</v>
      </c>
      <c r="G22" s="71">
        <v>20000</v>
      </c>
      <c r="H22" s="130">
        <v>0.15679999999999999</v>
      </c>
      <c r="I22" s="12">
        <f t="shared" si="1"/>
        <v>3136</v>
      </c>
    </row>
    <row r="23" spans="2:12" ht="18" customHeight="1" x14ac:dyDescent="0.25">
      <c r="B23" s="124" t="s">
        <v>21</v>
      </c>
      <c r="C23" s="27" t="s">
        <v>20</v>
      </c>
      <c r="D23" s="67" t="s">
        <v>264</v>
      </c>
      <c r="E23" s="27">
        <v>48053</v>
      </c>
      <c r="F23" s="13">
        <v>1946981</v>
      </c>
      <c r="G23" s="71">
        <v>16300</v>
      </c>
      <c r="H23" s="130">
        <v>0.17480000000000001</v>
      </c>
      <c r="I23" s="12">
        <f t="shared" ref="I23:I24" si="3">G23*H23</f>
        <v>2849.2400000000002</v>
      </c>
    </row>
    <row r="24" spans="2:12" ht="18" customHeight="1" x14ac:dyDescent="0.25">
      <c r="B24" s="124" t="s">
        <v>174</v>
      </c>
      <c r="C24" s="27" t="s">
        <v>179</v>
      </c>
      <c r="D24" s="67" t="s">
        <v>264</v>
      </c>
      <c r="E24" s="27">
        <v>48897</v>
      </c>
      <c r="F24" s="13">
        <v>1975264</v>
      </c>
      <c r="G24" s="71">
        <v>12000</v>
      </c>
      <c r="H24" s="130">
        <v>0.21110000000000001</v>
      </c>
      <c r="I24" s="12">
        <f t="shared" si="3"/>
        <v>2533.2000000000003</v>
      </c>
    </row>
    <row r="25" spans="2:12" ht="18" customHeight="1" x14ac:dyDescent="0.25">
      <c r="B25" s="124" t="s">
        <v>62</v>
      </c>
      <c r="C25" s="27" t="s">
        <v>74</v>
      </c>
      <c r="D25" s="67" t="s">
        <v>264</v>
      </c>
      <c r="E25" s="27">
        <v>48658</v>
      </c>
      <c r="F25" s="13">
        <v>1966771</v>
      </c>
      <c r="G25" s="71">
        <v>11400</v>
      </c>
      <c r="H25" s="130">
        <v>0.16009999999999999</v>
      </c>
      <c r="I25" s="12">
        <f t="shared" si="1"/>
        <v>1825.1399999999999</v>
      </c>
    </row>
    <row r="26" spans="2:12" ht="18" customHeight="1" x14ac:dyDescent="0.25">
      <c r="B26" s="124" t="s">
        <v>12</v>
      </c>
      <c r="C26" s="27" t="s">
        <v>11</v>
      </c>
      <c r="D26" s="67" t="s">
        <v>264</v>
      </c>
      <c r="E26" s="27">
        <v>48667</v>
      </c>
      <c r="F26" s="13">
        <v>1966886</v>
      </c>
      <c r="G26" s="71">
        <v>11000</v>
      </c>
      <c r="H26" s="130">
        <v>0.21529999999999999</v>
      </c>
      <c r="I26" s="12">
        <f t="shared" si="1"/>
        <v>2368.2999999999997</v>
      </c>
    </row>
    <row r="27" spans="2:12" ht="18" customHeight="1" x14ac:dyDescent="0.25">
      <c r="B27" s="124" t="s">
        <v>19</v>
      </c>
      <c r="C27" s="27" t="s">
        <v>18</v>
      </c>
      <c r="D27" s="67" t="s">
        <v>264</v>
      </c>
      <c r="E27" s="27">
        <v>48056</v>
      </c>
      <c r="F27" s="13">
        <v>1947010</v>
      </c>
      <c r="G27" s="71">
        <v>11000</v>
      </c>
      <c r="H27" s="130">
        <v>0.16830000000000001</v>
      </c>
      <c r="I27" s="12">
        <f t="shared" si="1"/>
        <v>1851.3</v>
      </c>
    </row>
    <row r="28" spans="2:12" ht="18" customHeight="1" x14ac:dyDescent="0.25">
      <c r="B28" s="124" t="s">
        <v>62</v>
      </c>
      <c r="C28" s="27" t="s">
        <v>74</v>
      </c>
      <c r="D28" s="67" t="s">
        <v>264</v>
      </c>
      <c r="E28" s="27">
        <v>48657</v>
      </c>
      <c r="F28" s="13">
        <v>1966763</v>
      </c>
      <c r="G28" s="71">
        <v>10000</v>
      </c>
      <c r="H28" s="130">
        <v>0.16009999999999999</v>
      </c>
      <c r="I28" s="12">
        <f t="shared" si="1"/>
        <v>1601</v>
      </c>
      <c r="J28" s="121"/>
      <c r="K28" s="121"/>
      <c r="L28" s="3"/>
    </row>
    <row r="29" spans="2:12" ht="18" customHeight="1" x14ac:dyDescent="0.25">
      <c r="B29" s="124" t="s">
        <v>188</v>
      </c>
      <c r="C29" s="27" t="s">
        <v>198</v>
      </c>
      <c r="D29" s="67" t="s">
        <v>264</v>
      </c>
      <c r="E29" s="27">
        <v>48542</v>
      </c>
      <c r="F29" s="13">
        <v>1962439</v>
      </c>
      <c r="G29" s="71">
        <v>10000</v>
      </c>
      <c r="H29" s="130">
        <v>0.1583</v>
      </c>
      <c r="I29" s="12">
        <f t="shared" si="1"/>
        <v>1583</v>
      </c>
      <c r="J29" s="121"/>
    </row>
    <row r="30" spans="2:12" ht="18" customHeight="1" x14ac:dyDescent="0.25">
      <c r="B30" s="124" t="s">
        <v>266</v>
      </c>
      <c r="C30" s="27" t="s">
        <v>271</v>
      </c>
      <c r="D30" s="67" t="s">
        <v>264</v>
      </c>
      <c r="E30" s="27">
        <v>48405</v>
      </c>
      <c r="F30" s="13">
        <v>1958827</v>
      </c>
      <c r="G30" s="71">
        <v>9000</v>
      </c>
      <c r="H30" s="130">
        <v>0.159</v>
      </c>
      <c r="I30" s="12">
        <f t="shared" ref="I30" si="4">G30*H30</f>
        <v>1431</v>
      </c>
      <c r="J30" s="121"/>
    </row>
    <row r="31" spans="2:12" ht="18" customHeight="1" x14ac:dyDescent="0.25">
      <c r="B31" s="124" t="s">
        <v>69</v>
      </c>
      <c r="C31" s="27" t="s">
        <v>81</v>
      </c>
      <c r="D31" s="67" t="s">
        <v>264</v>
      </c>
      <c r="E31" s="27">
        <v>48826</v>
      </c>
      <c r="F31" s="13">
        <v>1972522</v>
      </c>
      <c r="G31" s="71">
        <v>4000</v>
      </c>
      <c r="H31" s="130">
        <v>0.1502</v>
      </c>
      <c r="I31" s="12">
        <f t="shared" si="1"/>
        <v>600.79999999999995</v>
      </c>
    </row>
    <row r="32" spans="2:12" ht="18" customHeight="1" x14ac:dyDescent="0.25">
      <c r="B32" s="124" t="s">
        <v>97</v>
      </c>
      <c r="C32" s="27" t="s">
        <v>110</v>
      </c>
      <c r="D32" s="67" t="s">
        <v>264</v>
      </c>
      <c r="E32" s="27">
        <v>48551</v>
      </c>
      <c r="F32" s="13">
        <v>1962797</v>
      </c>
      <c r="G32" s="71">
        <v>3500</v>
      </c>
      <c r="H32" s="130">
        <v>0.15190000000000001</v>
      </c>
      <c r="I32" s="12">
        <f t="shared" si="1"/>
        <v>531.65</v>
      </c>
    </row>
    <row r="33" spans="2:10" ht="18" customHeight="1" x14ac:dyDescent="0.25">
      <c r="B33" s="124" t="s">
        <v>70</v>
      </c>
      <c r="C33" s="27" t="s">
        <v>82</v>
      </c>
      <c r="D33" s="67" t="s">
        <v>264</v>
      </c>
      <c r="E33" s="27">
        <v>48742</v>
      </c>
      <c r="F33" s="13">
        <v>1970017</v>
      </c>
      <c r="G33" s="71">
        <v>3000</v>
      </c>
      <c r="H33" s="130">
        <v>0.25990000000000002</v>
      </c>
      <c r="I33" s="12">
        <f t="shared" si="1"/>
        <v>779.7</v>
      </c>
      <c r="J33" s="121"/>
    </row>
    <row r="34" spans="2:10" ht="18" customHeight="1" x14ac:dyDescent="0.25">
      <c r="B34" s="124" t="s">
        <v>187</v>
      </c>
      <c r="C34" s="27" t="s">
        <v>197</v>
      </c>
      <c r="D34" s="67" t="s">
        <v>264</v>
      </c>
      <c r="E34" s="27">
        <v>48387</v>
      </c>
      <c r="F34" s="13">
        <v>1958481</v>
      </c>
      <c r="G34" s="71">
        <v>2800</v>
      </c>
      <c r="H34" s="130">
        <v>0.2014</v>
      </c>
      <c r="I34" s="12">
        <f t="shared" si="1"/>
        <v>563.91999999999996</v>
      </c>
    </row>
    <row r="35" spans="2:10" ht="18" customHeight="1" x14ac:dyDescent="0.25">
      <c r="B35" s="124" t="s">
        <v>267</v>
      </c>
      <c r="C35" s="27" t="s">
        <v>270</v>
      </c>
      <c r="D35" s="67" t="s">
        <v>264</v>
      </c>
      <c r="E35" s="27">
        <v>48843</v>
      </c>
      <c r="F35" s="13">
        <v>1972750</v>
      </c>
      <c r="G35" s="71">
        <v>1500</v>
      </c>
      <c r="H35" s="130">
        <v>0.26300000000000001</v>
      </c>
      <c r="I35" s="12">
        <f t="shared" si="1"/>
        <v>394.5</v>
      </c>
    </row>
    <row r="36" spans="2:10" ht="18" customHeight="1" x14ac:dyDescent="0.25">
      <c r="B36" s="124" t="s">
        <v>268</v>
      </c>
      <c r="C36" s="27" t="s">
        <v>269</v>
      </c>
      <c r="D36" s="67" t="s">
        <v>264</v>
      </c>
      <c r="E36" s="27">
        <v>48373</v>
      </c>
      <c r="F36" s="13">
        <v>1958229</v>
      </c>
      <c r="G36" s="71">
        <v>1000</v>
      </c>
      <c r="H36" s="130">
        <v>0.19289999999999999</v>
      </c>
      <c r="I36" s="12">
        <f t="shared" si="1"/>
        <v>192.89999999999998</v>
      </c>
    </row>
    <row r="37" spans="2:10" ht="18" customHeight="1" x14ac:dyDescent="0.25">
      <c r="B37" s="124" t="s">
        <v>70</v>
      </c>
      <c r="C37" s="27" t="s">
        <v>82</v>
      </c>
      <c r="D37" s="67" t="s">
        <v>264</v>
      </c>
      <c r="E37" s="27">
        <v>48827</v>
      </c>
      <c r="F37" s="13">
        <v>1972531</v>
      </c>
      <c r="G37" s="71">
        <v>1000</v>
      </c>
      <c r="H37" s="130">
        <v>0.25990000000000002</v>
      </c>
      <c r="I37" s="12">
        <f t="shared" si="1"/>
        <v>259.90000000000003</v>
      </c>
    </row>
    <row r="38" spans="2:10" ht="18" customHeight="1" thickBot="1" x14ac:dyDescent="0.3">
      <c r="B38" s="125" t="s">
        <v>236</v>
      </c>
      <c r="C38" s="88" t="s">
        <v>235</v>
      </c>
      <c r="D38" s="127" t="s">
        <v>264</v>
      </c>
      <c r="E38" s="88">
        <v>48259</v>
      </c>
      <c r="F38" s="8">
        <v>1952804</v>
      </c>
      <c r="G38" s="128">
        <v>100</v>
      </c>
      <c r="H38" s="131">
        <v>0.14810000000000001</v>
      </c>
      <c r="I38" s="7">
        <f t="shared" si="1"/>
        <v>14.81</v>
      </c>
    </row>
    <row r="39" spans="2:10" ht="15.75" x14ac:dyDescent="0.25">
      <c r="B39" s="16" t="s">
        <v>3</v>
      </c>
      <c r="C39" s="15"/>
      <c r="D39" s="15"/>
      <c r="E39" s="15"/>
      <c r="F39" s="15"/>
      <c r="G39" s="14"/>
      <c r="H39" s="29">
        <v>800</v>
      </c>
      <c r="I39" s="64">
        <v>800</v>
      </c>
    </row>
    <row r="40" spans="2:10" ht="15.75" x14ac:dyDescent="0.25">
      <c r="B40" s="16" t="s">
        <v>2</v>
      </c>
      <c r="C40" s="15"/>
      <c r="D40" s="15"/>
      <c r="E40" s="15"/>
      <c r="F40" s="15"/>
      <c r="G40" s="14"/>
      <c r="H40" s="13">
        <v>250</v>
      </c>
      <c r="I40" s="12">
        <v>250</v>
      </c>
    </row>
    <row r="41" spans="2:10" ht="16.5" thickBot="1" x14ac:dyDescent="0.3">
      <c r="B41" s="11" t="s">
        <v>1</v>
      </c>
      <c r="C41" s="10"/>
      <c r="D41" s="10"/>
      <c r="E41" s="10"/>
      <c r="F41" s="10"/>
      <c r="G41" s="9"/>
      <c r="H41" s="8">
        <v>450</v>
      </c>
      <c r="I41" s="7">
        <v>450</v>
      </c>
    </row>
    <row r="42" spans="2:10" ht="15.75" thickBot="1" x14ac:dyDescent="0.3">
      <c r="B42" s="164" t="s">
        <v>0</v>
      </c>
      <c r="C42" s="165"/>
      <c r="D42" s="165"/>
      <c r="E42" s="165"/>
      <c r="F42" s="165"/>
      <c r="G42" s="165"/>
      <c r="H42" s="165"/>
      <c r="I42" s="166"/>
    </row>
    <row r="43" spans="2:10" ht="29.25" thickBot="1" x14ac:dyDescent="0.5">
      <c r="B43" s="146"/>
      <c r="C43" s="147"/>
      <c r="D43" s="147"/>
      <c r="E43" s="147"/>
      <c r="F43" s="148"/>
      <c r="G43" s="83">
        <f>SUM(G16:G38)</f>
        <v>513000</v>
      </c>
      <c r="H43" s="82"/>
      <c r="I43" s="81">
        <f>SUM(I16:I41)</f>
        <v>68254.62999999999</v>
      </c>
    </row>
    <row r="45" spans="2:10" x14ac:dyDescent="0.2">
      <c r="D45" s="3"/>
      <c r="I45" s="3"/>
    </row>
    <row r="49" spans="4:4" x14ac:dyDescent="0.2">
      <c r="D49" s="2"/>
    </row>
  </sheetData>
  <mergeCells count="7">
    <mergeCell ref="B43:F43"/>
    <mergeCell ref="A1:I1"/>
    <mergeCell ref="A2:B3"/>
    <mergeCell ref="C2:G3"/>
    <mergeCell ref="B13:C13"/>
    <mergeCell ref="H13:I13"/>
    <mergeCell ref="B42:I42"/>
  </mergeCells>
  <phoneticPr fontId="27" type="noConversion"/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3F76-C40E-4720-8736-BD7119E4594E}">
  <sheetPr>
    <pageSetUpPr fitToPage="1"/>
  </sheetPr>
  <dimension ref="A1:L31"/>
  <sheetViews>
    <sheetView topLeftCell="A13" zoomScale="115" workbookViewId="0">
      <selection activeCell="D15" sqref="D15"/>
    </sheetView>
  </sheetViews>
  <sheetFormatPr baseColWidth="10" defaultRowHeight="12.75" x14ac:dyDescent="0.2"/>
  <cols>
    <col min="1" max="1" width="5.5703125" style="1" customWidth="1"/>
    <col min="2" max="2" width="18.140625" style="1" customWidth="1"/>
    <col min="3" max="3" width="23.7109375" style="1" customWidth="1"/>
    <col min="4" max="4" width="13.42578125" style="1" customWidth="1"/>
    <col min="5" max="5" width="11.7109375" style="1" customWidth="1"/>
    <col min="6" max="6" width="14" style="1" customWidth="1"/>
    <col min="7" max="7" width="14.5703125" style="1" customWidth="1"/>
    <col min="8" max="8" width="18.5703125" style="1" customWidth="1"/>
    <col min="9" max="9" width="22" style="1" customWidth="1"/>
    <col min="10" max="16384" width="11.42578125" style="1"/>
  </cols>
  <sheetData>
    <row r="1" spans="1:12" ht="48.75" customHeight="1" thickBot="1" x14ac:dyDescent="0.25">
      <c r="A1" s="92" t="s">
        <v>52</v>
      </c>
      <c r="B1" s="93"/>
      <c r="C1" s="93"/>
      <c r="D1" s="93"/>
      <c r="E1" s="93"/>
      <c r="F1" s="93"/>
      <c r="G1" s="93"/>
      <c r="H1" s="93"/>
      <c r="I1" s="94"/>
    </row>
    <row r="2" spans="1:12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2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2" ht="25.5" x14ac:dyDescent="0.4">
      <c r="D4" s="95"/>
      <c r="E4" s="96"/>
      <c r="F4" s="96"/>
    </row>
    <row r="6" spans="1:12" ht="22.5" customHeight="1" x14ac:dyDescent="0.3">
      <c r="A6" s="43"/>
      <c r="B6" s="58" t="s">
        <v>248</v>
      </c>
      <c r="C6" s="58"/>
      <c r="D6" s="58"/>
      <c r="E6" s="58"/>
      <c r="F6" s="58"/>
      <c r="G6" s="58"/>
      <c r="H6" s="58"/>
      <c r="I6" s="58"/>
    </row>
    <row r="7" spans="1:12" ht="15.75" x14ac:dyDescent="0.25">
      <c r="A7" s="41"/>
      <c r="B7" s="53"/>
      <c r="C7" s="53"/>
      <c r="D7" s="53"/>
      <c r="E7" s="53"/>
      <c r="F7" s="53"/>
      <c r="G7" s="41"/>
      <c r="H7" s="52"/>
      <c r="I7" s="41"/>
    </row>
    <row r="8" spans="1:12" ht="16.5" customHeight="1" x14ac:dyDescent="0.3">
      <c r="A8" s="41"/>
      <c r="B8" s="97" t="s">
        <v>46</v>
      </c>
      <c r="C8" s="41"/>
      <c r="D8" s="41"/>
      <c r="E8" s="97" t="s">
        <v>249</v>
      </c>
      <c r="F8" s="97"/>
      <c r="G8" s="41"/>
      <c r="H8" s="55" t="s">
        <v>45</v>
      </c>
      <c r="I8" s="41"/>
    </row>
    <row r="9" spans="1:12" ht="15.75" x14ac:dyDescent="0.25">
      <c r="A9" s="54"/>
      <c r="B9" s="98"/>
      <c r="C9" s="98"/>
      <c r="D9" s="41"/>
      <c r="E9" s="98"/>
      <c r="F9" s="41"/>
      <c r="G9" s="41"/>
      <c r="H9" s="52"/>
      <c r="I9" s="41"/>
    </row>
    <row r="10" spans="1:12" ht="15.75" x14ac:dyDescent="0.25">
      <c r="B10" s="41"/>
      <c r="C10" s="41"/>
      <c r="D10" s="41"/>
      <c r="E10" s="41"/>
      <c r="F10" s="41"/>
      <c r="G10" s="41"/>
      <c r="H10" s="47"/>
      <c r="I10" s="41"/>
      <c r="L10" s="99"/>
    </row>
    <row r="11" spans="1:12" ht="20.25" customHeight="1" x14ac:dyDescent="0.3">
      <c r="A11" s="43"/>
      <c r="B11" s="45" t="s">
        <v>44</v>
      </c>
      <c r="C11" s="41"/>
      <c r="D11" s="41"/>
      <c r="E11" s="45" t="s">
        <v>43</v>
      </c>
      <c r="F11" s="41"/>
      <c r="G11" s="41"/>
      <c r="H11" s="51" t="s">
        <v>42</v>
      </c>
      <c r="I11" s="50" t="s">
        <v>250</v>
      </c>
    </row>
    <row r="12" spans="1:12" ht="16.5" customHeight="1" x14ac:dyDescent="0.25">
      <c r="A12" s="49"/>
      <c r="B12" s="45" t="s">
        <v>41</v>
      </c>
      <c r="C12" s="41"/>
      <c r="D12" s="41"/>
      <c r="E12" s="45" t="s">
        <v>40</v>
      </c>
      <c r="F12" s="41"/>
      <c r="G12" s="41"/>
      <c r="H12" s="44" t="s">
        <v>39</v>
      </c>
      <c r="I12" s="41"/>
    </row>
    <row r="13" spans="1:12" ht="15.75" x14ac:dyDescent="0.3">
      <c r="A13" s="43"/>
      <c r="B13" s="45" t="s">
        <v>38</v>
      </c>
      <c r="C13" s="41"/>
      <c r="D13" s="41"/>
      <c r="E13" s="45" t="s">
        <v>37</v>
      </c>
      <c r="F13" s="41"/>
      <c r="G13" s="41"/>
      <c r="H13" s="44"/>
      <c r="I13" s="41"/>
    </row>
    <row r="14" spans="1:12" ht="15.75" x14ac:dyDescent="0.3">
      <c r="A14" s="43"/>
      <c r="B14" s="45" t="s">
        <v>36</v>
      </c>
      <c r="C14" s="41"/>
      <c r="D14" s="41"/>
      <c r="E14" s="45" t="s">
        <v>35</v>
      </c>
      <c r="F14" s="41"/>
      <c r="G14" s="41"/>
      <c r="H14" s="100" t="s">
        <v>34</v>
      </c>
      <c r="I14" s="41"/>
      <c r="J14" s="46"/>
    </row>
    <row r="15" spans="1:12" ht="15.75" x14ac:dyDescent="0.3">
      <c r="A15" s="43"/>
      <c r="B15" s="45"/>
      <c r="C15" s="45"/>
      <c r="D15" s="41"/>
      <c r="E15" s="45"/>
      <c r="F15" s="41" t="s">
        <v>0</v>
      </c>
      <c r="G15" s="41"/>
      <c r="H15" s="44"/>
      <c r="I15" s="41"/>
    </row>
    <row r="16" spans="1:12" ht="15.75" x14ac:dyDescent="0.3">
      <c r="A16" s="43"/>
      <c r="B16" s="45"/>
      <c r="C16" s="45"/>
      <c r="D16" s="41"/>
      <c r="E16" s="45"/>
      <c r="F16" s="41"/>
      <c r="G16" s="41"/>
      <c r="H16" s="44"/>
      <c r="I16" s="41"/>
    </row>
    <row r="17" spans="1:9" ht="30" customHeight="1" x14ac:dyDescent="0.35">
      <c r="A17" s="43"/>
      <c r="B17" s="162" t="s">
        <v>260</v>
      </c>
      <c r="C17" s="162"/>
      <c r="D17" s="42"/>
      <c r="E17" s="41"/>
      <c r="F17" s="41"/>
      <c r="G17" s="41"/>
      <c r="H17" s="163" t="s">
        <v>254</v>
      </c>
      <c r="I17" s="163"/>
    </row>
    <row r="18" spans="1:9" ht="9" customHeight="1" x14ac:dyDescent="0.3">
      <c r="A18" s="43"/>
      <c r="B18" s="42"/>
      <c r="C18" s="42"/>
      <c r="D18" s="42"/>
      <c r="E18" s="41"/>
      <c r="F18" s="41"/>
      <c r="G18" s="41"/>
      <c r="H18" s="41"/>
      <c r="I18" s="41"/>
    </row>
    <row r="19" spans="1:9" ht="15.75" customHeight="1" thickBot="1" x14ac:dyDescent="0.25">
      <c r="F19" s="1" t="s">
        <v>39</v>
      </c>
      <c r="H19" s="101"/>
      <c r="I19" s="102"/>
    </row>
    <row r="20" spans="1:9" ht="27" customHeight="1" thickBot="1" x14ac:dyDescent="0.25">
      <c r="B20" s="103" t="s">
        <v>33</v>
      </c>
      <c r="C20" s="104" t="s">
        <v>32</v>
      </c>
      <c r="D20" s="39" t="s">
        <v>31</v>
      </c>
      <c r="E20" s="39" t="s">
        <v>30</v>
      </c>
      <c r="F20" s="105" t="s">
        <v>29</v>
      </c>
      <c r="G20" s="106" t="s">
        <v>28</v>
      </c>
      <c r="H20" s="39" t="s">
        <v>27</v>
      </c>
      <c r="I20" s="105" t="s">
        <v>26</v>
      </c>
    </row>
    <row r="21" spans="1:9" s="48" customFormat="1" ht="37.5" customHeight="1" thickBot="1" x14ac:dyDescent="0.3">
      <c r="B21" s="107" t="s">
        <v>251</v>
      </c>
      <c r="C21" s="108" t="s">
        <v>255</v>
      </c>
      <c r="D21" s="109" t="s">
        <v>252</v>
      </c>
      <c r="E21" s="114">
        <v>26669</v>
      </c>
      <c r="F21" s="110" t="s">
        <v>253</v>
      </c>
      <c r="G21" s="111">
        <v>1</v>
      </c>
      <c r="H21" s="112">
        <f>10647.3/19.5</f>
        <v>546.01538461538462</v>
      </c>
      <c r="I21" s="113">
        <f>H21*G21</f>
        <v>546.01538461538462</v>
      </c>
    </row>
    <row r="22" spans="1:9" s="48" customFormat="1" ht="37.5" customHeight="1" thickBot="1" x14ac:dyDescent="0.3">
      <c r="B22" s="107" t="s">
        <v>251</v>
      </c>
      <c r="C22" s="108" t="s">
        <v>256</v>
      </c>
      <c r="D22" s="114"/>
      <c r="E22" s="114">
        <v>26669</v>
      </c>
      <c r="F22" s="110" t="s">
        <v>253</v>
      </c>
      <c r="G22" s="116">
        <v>1</v>
      </c>
      <c r="H22" s="115">
        <f>9888.48/19.5</f>
        <v>507.10153846153844</v>
      </c>
      <c r="I22" s="113">
        <f>H22*G22</f>
        <v>507.10153846153844</v>
      </c>
    </row>
    <row r="23" spans="1:9" s="48" customFormat="1" ht="37.5" customHeight="1" thickBot="1" x14ac:dyDescent="0.3">
      <c r="B23" s="107" t="s">
        <v>251</v>
      </c>
      <c r="C23" s="108" t="s">
        <v>257</v>
      </c>
      <c r="D23" s="109"/>
      <c r="E23" s="114">
        <v>26669</v>
      </c>
      <c r="F23" s="110" t="s">
        <v>253</v>
      </c>
      <c r="G23" s="120">
        <v>1</v>
      </c>
      <c r="H23" s="112">
        <f>10092.6/19.5</f>
        <v>517.56923076923078</v>
      </c>
      <c r="I23" s="113">
        <f>H23*G23</f>
        <v>517.56923076923078</v>
      </c>
    </row>
    <row r="24" spans="1:9" s="48" customFormat="1" ht="50.25" customHeight="1" thickBot="1" x14ac:dyDescent="0.3">
      <c r="B24" s="107" t="s">
        <v>251</v>
      </c>
      <c r="C24" s="108" t="s">
        <v>258</v>
      </c>
      <c r="D24" s="114" t="s">
        <v>252</v>
      </c>
      <c r="E24" s="109">
        <v>26669</v>
      </c>
      <c r="F24" s="110" t="s">
        <v>253</v>
      </c>
      <c r="G24" s="111">
        <v>1</v>
      </c>
      <c r="H24" s="115">
        <f>(570.24+9558)/19.5</f>
        <v>519.39692307692303</v>
      </c>
      <c r="I24" s="113">
        <f>H24*G24</f>
        <v>519.39692307692303</v>
      </c>
    </row>
    <row r="25" spans="1:9" ht="29.25" thickBot="1" x14ac:dyDescent="0.5">
      <c r="B25" s="117"/>
      <c r="C25" s="118"/>
      <c r="D25" s="118"/>
      <c r="E25" s="90"/>
      <c r="F25" s="91"/>
      <c r="G25" s="77">
        <v>4</v>
      </c>
      <c r="H25" s="78"/>
      <c r="I25" s="119">
        <f>I21+I22+I23+I24</f>
        <v>2090.083076923077</v>
      </c>
    </row>
    <row r="31" spans="1:9" x14ac:dyDescent="0.2">
      <c r="D31" s="2"/>
    </row>
  </sheetData>
  <mergeCells count="4">
    <mergeCell ref="A2:B3"/>
    <mergeCell ref="C2:G3"/>
    <mergeCell ref="B17:C17"/>
    <mergeCell ref="H17:I17"/>
  </mergeCells>
  <printOptions horizontalCentered="1"/>
  <pageMargins left="0.11811023622047245" right="0.11811023622047245" top="0.31496062992125984" bottom="0.19685039370078741" header="0.31496062992125984" footer="0.9055118110236221"/>
  <pageSetup scale="74" orientation="portrait" r:id="rId1"/>
  <headerFooter alignWithMargins="0">
    <oddFooter>&amp;L&amp;16&amp;N de &amp;N&amp;R&amp;16FPL-12 Rev 01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50F4-CE7E-464C-B10D-84DA5648DBAD}">
  <sheetPr>
    <pageSetUpPr fitToPage="1"/>
  </sheetPr>
  <dimension ref="A1:L50"/>
  <sheetViews>
    <sheetView topLeftCell="A22" zoomScale="121" zoomScaleNormal="121" workbookViewId="0">
      <selection activeCell="F32" sqref="F32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237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259</v>
      </c>
      <c r="C13" s="162"/>
      <c r="D13" s="42"/>
      <c r="E13" s="41"/>
      <c r="F13" s="41"/>
      <c r="G13" s="41"/>
      <c r="H13" s="163" t="s">
        <v>238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8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69" t="s">
        <v>25</v>
      </c>
      <c r="C16" s="29" t="s">
        <v>24</v>
      </c>
      <c r="D16" s="84" t="s">
        <v>272</v>
      </c>
      <c r="E16" s="86">
        <v>48851</v>
      </c>
      <c r="F16" s="29">
        <v>1972848</v>
      </c>
      <c r="G16" s="80">
        <v>100000</v>
      </c>
      <c r="H16" s="74">
        <v>9.1200000000000003E-2</v>
      </c>
      <c r="I16" s="64">
        <f>G16*H16</f>
        <v>9120</v>
      </c>
    </row>
    <row r="17" spans="2:12" ht="18" customHeight="1" x14ac:dyDescent="0.25">
      <c r="B17" s="27" t="s">
        <v>23</v>
      </c>
      <c r="C17" s="29" t="s">
        <v>22</v>
      </c>
      <c r="D17" s="28" t="s">
        <v>272</v>
      </c>
      <c r="E17" s="86">
        <v>48412</v>
      </c>
      <c r="F17" s="29">
        <v>1958991</v>
      </c>
      <c r="G17" s="80">
        <v>85000</v>
      </c>
      <c r="H17" s="74">
        <v>0.13800000000000001</v>
      </c>
      <c r="I17" s="64">
        <f t="shared" ref="I17:I39" si="0">G17*H17</f>
        <v>11730.000000000002</v>
      </c>
    </row>
    <row r="18" spans="2:12" ht="18" customHeight="1" x14ac:dyDescent="0.25">
      <c r="B18" s="32" t="s">
        <v>19</v>
      </c>
      <c r="C18" s="29" t="s">
        <v>18</v>
      </c>
      <c r="D18" s="28" t="s">
        <v>239</v>
      </c>
      <c r="E18" s="86">
        <v>48056</v>
      </c>
      <c r="F18" s="29">
        <v>1947010</v>
      </c>
      <c r="G18" s="80">
        <v>41300</v>
      </c>
      <c r="H18" s="74">
        <v>0.16830000000000001</v>
      </c>
      <c r="I18" s="64">
        <f t="shared" si="0"/>
        <v>6950.79</v>
      </c>
      <c r="J18" s="122"/>
    </row>
    <row r="19" spans="2:12" ht="18" customHeight="1" x14ac:dyDescent="0.25">
      <c r="B19" s="32" t="s">
        <v>14</v>
      </c>
      <c r="C19" s="29" t="s">
        <v>13</v>
      </c>
      <c r="D19" s="28" t="s">
        <v>239</v>
      </c>
      <c r="E19" s="86">
        <v>48800</v>
      </c>
      <c r="F19" s="29">
        <v>1971669</v>
      </c>
      <c r="G19" s="80">
        <v>36000</v>
      </c>
      <c r="H19" s="74">
        <v>0.17519999999999999</v>
      </c>
      <c r="I19" s="64">
        <f t="shared" si="0"/>
        <v>6307.2</v>
      </c>
    </row>
    <row r="20" spans="2:12" ht="18" customHeight="1" x14ac:dyDescent="0.25">
      <c r="B20" s="32" t="s">
        <v>216</v>
      </c>
      <c r="C20" s="29" t="s">
        <v>20</v>
      </c>
      <c r="D20" s="28" t="s">
        <v>239</v>
      </c>
      <c r="E20" s="86">
        <v>48053</v>
      </c>
      <c r="F20" s="29">
        <v>1946981</v>
      </c>
      <c r="G20" s="71">
        <v>33300</v>
      </c>
      <c r="H20" s="74">
        <v>0.17480000000000001</v>
      </c>
      <c r="I20" s="64">
        <f t="shared" ref="I20" si="1">G20*H20</f>
        <v>5820.84</v>
      </c>
    </row>
    <row r="21" spans="2:12" ht="18" customHeight="1" x14ac:dyDescent="0.25">
      <c r="B21" s="32" t="s">
        <v>97</v>
      </c>
      <c r="C21" s="29" t="s">
        <v>110</v>
      </c>
      <c r="D21" s="28" t="s">
        <v>239</v>
      </c>
      <c r="E21" s="86">
        <v>48549</v>
      </c>
      <c r="F21" s="29">
        <v>1962762</v>
      </c>
      <c r="G21" s="80">
        <v>20000</v>
      </c>
      <c r="H21" s="74">
        <v>0.15190000000000001</v>
      </c>
      <c r="I21" s="64">
        <f t="shared" si="0"/>
        <v>3038</v>
      </c>
    </row>
    <row r="22" spans="2:12" ht="18" customHeight="1" x14ac:dyDescent="0.25">
      <c r="B22" s="32" t="s">
        <v>17</v>
      </c>
      <c r="C22" s="29" t="s">
        <v>16</v>
      </c>
      <c r="D22" s="28" t="s">
        <v>272</v>
      </c>
      <c r="E22" s="86">
        <v>48773</v>
      </c>
      <c r="F22" s="29">
        <v>1970359</v>
      </c>
      <c r="G22" s="71">
        <v>16800</v>
      </c>
      <c r="H22" s="74">
        <v>0.16059999999999999</v>
      </c>
      <c r="I22" s="64">
        <f t="shared" ref="I22" si="2">G22*H22</f>
        <v>2698.08</v>
      </c>
    </row>
    <row r="23" spans="2:12" ht="18" customHeight="1" x14ac:dyDescent="0.25">
      <c r="B23" s="32" t="s">
        <v>97</v>
      </c>
      <c r="C23" s="29" t="s">
        <v>110</v>
      </c>
      <c r="D23" s="28" t="s">
        <v>239</v>
      </c>
      <c r="E23" s="86">
        <v>48551</v>
      </c>
      <c r="F23" s="29">
        <v>1962797</v>
      </c>
      <c r="G23" s="80">
        <v>16500</v>
      </c>
      <c r="H23" s="74">
        <v>0.15190000000000001</v>
      </c>
      <c r="I23" s="64">
        <f t="shared" si="0"/>
        <v>2506.35</v>
      </c>
    </row>
    <row r="24" spans="2:12" ht="18" customHeight="1" x14ac:dyDescent="0.25">
      <c r="B24" s="32" t="s">
        <v>174</v>
      </c>
      <c r="C24" s="29" t="s">
        <v>179</v>
      </c>
      <c r="D24" s="28" t="s">
        <v>239</v>
      </c>
      <c r="E24" s="86">
        <v>48669</v>
      </c>
      <c r="F24" s="29">
        <v>1966907</v>
      </c>
      <c r="G24" s="71">
        <v>11000</v>
      </c>
      <c r="H24" s="74">
        <v>0.21110000000000001</v>
      </c>
      <c r="I24" s="64">
        <f t="shared" si="0"/>
        <v>2322.1</v>
      </c>
    </row>
    <row r="25" spans="2:12" ht="18" customHeight="1" x14ac:dyDescent="0.25">
      <c r="B25" s="32" t="s">
        <v>12</v>
      </c>
      <c r="C25" s="29" t="s">
        <v>11</v>
      </c>
      <c r="D25" s="28" t="s">
        <v>239</v>
      </c>
      <c r="E25" s="86">
        <v>48666</v>
      </c>
      <c r="F25" s="29">
        <v>1966878</v>
      </c>
      <c r="G25" s="71">
        <v>11000</v>
      </c>
      <c r="H25" s="74">
        <v>0.21529999999999999</v>
      </c>
      <c r="I25" s="64">
        <f t="shared" si="0"/>
        <v>2368.2999999999997</v>
      </c>
    </row>
    <row r="26" spans="2:12" ht="18" customHeight="1" x14ac:dyDescent="0.25">
      <c r="B26" s="32" t="s">
        <v>64</v>
      </c>
      <c r="C26" s="29" t="s">
        <v>76</v>
      </c>
      <c r="D26" s="28" t="s">
        <v>239</v>
      </c>
      <c r="E26" s="86">
        <v>48553</v>
      </c>
      <c r="F26" s="29">
        <v>1962869</v>
      </c>
      <c r="G26" s="71">
        <v>11000</v>
      </c>
      <c r="H26" s="74">
        <v>0.20119999999999999</v>
      </c>
      <c r="I26" s="64">
        <f t="shared" si="0"/>
        <v>2213.1999999999998</v>
      </c>
    </row>
    <row r="27" spans="2:12" ht="18" customHeight="1" x14ac:dyDescent="0.25">
      <c r="B27" s="32" t="s">
        <v>62</v>
      </c>
      <c r="C27" s="29" t="s">
        <v>74</v>
      </c>
      <c r="D27" s="28" t="s">
        <v>239</v>
      </c>
      <c r="E27" s="86">
        <v>48657</v>
      </c>
      <c r="F27" s="29">
        <v>1966763</v>
      </c>
      <c r="G27" s="80">
        <v>10000</v>
      </c>
      <c r="H27" s="74">
        <v>0.16009999999999999</v>
      </c>
      <c r="I27" s="64">
        <f t="shared" ref="I27" si="3">G27*H27</f>
        <v>1601</v>
      </c>
    </row>
    <row r="28" spans="2:12" ht="18" customHeight="1" x14ac:dyDescent="0.25">
      <c r="B28" s="32" t="s">
        <v>12</v>
      </c>
      <c r="C28" s="29" t="s">
        <v>11</v>
      </c>
      <c r="D28" s="28" t="s">
        <v>239</v>
      </c>
      <c r="E28" s="86">
        <v>48665</v>
      </c>
      <c r="F28" s="29">
        <v>1966860</v>
      </c>
      <c r="G28" s="71">
        <v>9000</v>
      </c>
      <c r="H28" s="74">
        <v>0.21529999999999999</v>
      </c>
      <c r="I28" s="64">
        <f t="shared" si="0"/>
        <v>1937.6999999999998</v>
      </c>
    </row>
    <row r="29" spans="2:12" ht="18" customHeight="1" x14ac:dyDescent="0.25">
      <c r="B29" s="32" t="s">
        <v>240</v>
      </c>
      <c r="C29" s="29" t="s">
        <v>247</v>
      </c>
      <c r="D29" s="28" t="s">
        <v>239</v>
      </c>
      <c r="E29" s="86">
        <v>48747</v>
      </c>
      <c r="F29" s="29">
        <v>1970113</v>
      </c>
      <c r="G29" s="71">
        <v>6000</v>
      </c>
      <c r="H29" s="74">
        <v>0.13850000000000001</v>
      </c>
      <c r="I29" s="64">
        <f t="shared" si="0"/>
        <v>831.00000000000011</v>
      </c>
      <c r="J29" s="121"/>
      <c r="K29" s="121"/>
      <c r="L29" s="3"/>
    </row>
    <row r="30" spans="2:12" ht="18" customHeight="1" x14ac:dyDescent="0.25">
      <c r="B30" s="27" t="s">
        <v>174</v>
      </c>
      <c r="C30" s="89" t="s">
        <v>179</v>
      </c>
      <c r="D30" s="28" t="s">
        <v>239</v>
      </c>
      <c r="E30" s="87">
        <v>48668</v>
      </c>
      <c r="F30" s="13">
        <v>1966894</v>
      </c>
      <c r="G30" s="71">
        <v>5700</v>
      </c>
      <c r="H30" s="74">
        <v>0.21110000000000001</v>
      </c>
      <c r="I30" s="64">
        <f t="shared" si="0"/>
        <v>1203.27</v>
      </c>
      <c r="J30" s="121"/>
    </row>
    <row r="31" spans="2:12" ht="18" customHeight="1" x14ac:dyDescent="0.25">
      <c r="B31" s="32" t="s">
        <v>97</v>
      </c>
      <c r="C31" s="29" t="s">
        <v>110</v>
      </c>
      <c r="D31" s="28" t="s">
        <v>239</v>
      </c>
      <c r="E31" s="86">
        <v>48548</v>
      </c>
      <c r="F31" s="29">
        <v>1962754</v>
      </c>
      <c r="G31" s="80">
        <v>4200</v>
      </c>
      <c r="H31" s="74">
        <v>0.15190000000000001</v>
      </c>
      <c r="I31" s="64">
        <f t="shared" si="0"/>
        <v>637.98</v>
      </c>
    </row>
    <row r="32" spans="2:12" ht="18" customHeight="1" x14ac:dyDescent="0.25">
      <c r="B32" s="32" t="s">
        <v>219</v>
      </c>
      <c r="C32" s="29" t="s">
        <v>220</v>
      </c>
      <c r="D32" s="28" t="s">
        <v>239</v>
      </c>
      <c r="E32" s="86">
        <v>48933</v>
      </c>
      <c r="F32" s="29">
        <v>1977008</v>
      </c>
      <c r="G32" s="80">
        <v>3000</v>
      </c>
      <c r="H32" s="74">
        <v>0.18160000000000001</v>
      </c>
      <c r="I32" s="64">
        <f t="shared" si="0"/>
        <v>544.80000000000007</v>
      </c>
    </row>
    <row r="33" spans="2:10" ht="18" customHeight="1" x14ac:dyDescent="0.25">
      <c r="B33" s="32" t="s">
        <v>231</v>
      </c>
      <c r="C33" s="29" t="s">
        <v>233</v>
      </c>
      <c r="D33" s="28" t="s">
        <v>239</v>
      </c>
      <c r="E33" s="86">
        <v>48894</v>
      </c>
      <c r="F33" s="29">
        <v>1975230</v>
      </c>
      <c r="G33" s="80">
        <v>2000</v>
      </c>
      <c r="H33" s="74">
        <v>0.2041</v>
      </c>
      <c r="I33" s="64">
        <f t="shared" si="0"/>
        <v>408.2</v>
      </c>
    </row>
    <row r="34" spans="2:10" ht="18" customHeight="1" x14ac:dyDescent="0.25">
      <c r="B34" s="32" t="s">
        <v>240</v>
      </c>
      <c r="C34" s="29" t="s">
        <v>247</v>
      </c>
      <c r="D34" s="28" t="s">
        <v>239</v>
      </c>
      <c r="E34" s="86">
        <v>48834</v>
      </c>
      <c r="F34" s="29">
        <v>1972661</v>
      </c>
      <c r="G34" s="80">
        <v>2000</v>
      </c>
      <c r="H34" s="74">
        <v>0.13850000000000001</v>
      </c>
      <c r="I34" s="64">
        <f t="shared" si="0"/>
        <v>277</v>
      </c>
      <c r="J34" s="121"/>
    </row>
    <row r="35" spans="2:10" ht="18" customHeight="1" x14ac:dyDescent="0.25">
      <c r="B35" s="32" t="s">
        <v>241</v>
      </c>
      <c r="C35" s="29" t="s">
        <v>246</v>
      </c>
      <c r="D35" s="28" t="s">
        <v>239</v>
      </c>
      <c r="E35" s="86">
        <v>48586</v>
      </c>
      <c r="F35" s="29">
        <v>1963837</v>
      </c>
      <c r="G35" s="80">
        <v>1000</v>
      </c>
      <c r="H35" s="74">
        <v>0.17780000000000001</v>
      </c>
      <c r="I35" s="64">
        <f t="shared" si="0"/>
        <v>177.8</v>
      </c>
    </row>
    <row r="36" spans="2:10" ht="18" customHeight="1" x14ac:dyDescent="0.25">
      <c r="B36" s="32" t="s">
        <v>242</v>
      </c>
      <c r="C36" s="29" t="s">
        <v>245</v>
      </c>
      <c r="D36" s="28" t="s">
        <v>239</v>
      </c>
      <c r="E36" s="86">
        <v>48537</v>
      </c>
      <c r="F36" s="29">
        <v>1962375</v>
      </c>
      <c r="G36" s="80">
        <v>1200</v>
      </c>
      <c r="H36" s="74">
        <v>0.18160000000000001</v>
      </c>
      <c r="I36" s="64">
        <f t="shared" si="0"/>
        <v>217.92000000000002</v>
      </c>
    </row>
    <row r="37" spans="2:10" ht="18" customHeight="1" x14ac:dyDescent="0.25">
      <c r="B37" s="32" t="s">
        <v>243</v>
      </c>
      <c r="C37" s="29" t="s">
        <v>244</v>
      </c>
      <c r="D37" s="28" t="s">
        <v>239</v>
      </c>
      <c r="E37" s="86">
        <v>47340</v>
      </c>
      <c r="F37" s="29">
        <v>1918315</v>
      </c>
      <c r="G37" s="80">
        <v>600</v>
      </c>
      <c r="H37" s="74">
        <v>0.25969999999999999</v>
      </c>
      <c r="I37" s="64">
        <f t="shared" si="0"/>
        <v>155.82</v>
      </c>
    </row>
    <row r="38" spans="2:10" ht="18" customHeight="1" x14ac:dyDescent="0.25">
      <c r="B38" s="32" t="s">
        <v>153</v>
      </c>
      <c r="C38" s="29" t="s">
        <v>158</v>
      </c>
      <c r="D38" s="28" t="s">
        <v>239</v>
      </c>
      <c r="E38" s="86">
        <v>48476</v>
      </c>
      <c r="F38" s="29">
        <v>1961022</v>
      </c>
      <c r="G38" s="80">
        <v>400</v>
      </c>
      <c r="H38" s="74">
        <v>0.17849999999999999</v>
      </c>
      <c r="I38" s="64">
        <f t="shared" si="0"/>
        <v>71.399999999999991</v>
      </c>
    </row>
    <row r="39" spans="2:10" ht="18" customHeight="1" thickBot="1" x14ac:dyDescent="0.3">
      <c r="B39" s="88" t="s">
        <v>152</v>
      </c>
      <c r="C39" s="13" t="s">
        <v>159</v>
      </c>
      <c r="D39" s="85" t="s">
        <v>239</v>
      </c>
      <c r="E39" s="87">
        <v>48536</v>
      </c>
      <c r="F39" s="13">
        <v>1962367</v>
      </c>
      <c r="G39" s="71">
        <v>300</v>
      </c>
      <c r="H39" s="75">
        <v>0.1915</v>
      </c>
      <c r="I39" s="64">
        <f t="shared" si="0"/>
        <v>57.45</v>
      </c>
    </row>
    <row r="40" spans="2:10" ht="15.75" x14ac:dyDescent="0.25">
      <c r="B40" s="21" t="s">
        <v>3</v>
      </c>
      <c r="C40" s="20"/>
      <c r="D40" s="15"/>
      <c r="E40" s="20"/>
      <c r="F40" s="20"/>
      <c r="G40" s="19"/>
      <c r="H40" s="18">
        <v>800</v>
      </c>
      <c r="I40" s="17">
        <v>800</v>
      </c>
    </row>
    <row r="41" spans="2:10" ht="15.75" x14ac:dyDescent="0.25">
      <c r="B41" s="16" t="s">
        <v>2</v>
      </c>
      <c r="C41" s="15"/>
      <c r="D41" s="15"/>
      <c r="E41" s="15"/>
      <c r="F41" s="15"/>
      <c r="G41" s="14"/>
      <c r="H41" s="13">
        <v>250</v>
      </c>
      <c r="I41" s="12">
        <v>250</v>
      </c>
    </row>
    <row r="42" spans="2:10" ht="16.5" thickBot="1" x14ac:dyDescent="0.3">
      <c r="B42" s="11" t="s">
        <v>1</v>
      </c>
      <c r="C42" s="10"/>
      <c r="D42" s="10"/>
      <c r="E42" s="10"/>
      <c r="F42" s="10"/>
      <c r="G42" s="9"/>
      <c r="H42" s="8">
        <v>450</v>
      </c>
      <c r="I42" s="7">
        <v>450</v>
      </c>
    </row>
    <row r="43" spans="2:10" ht="15.75" thickBot="1" x14ac:dyDescent="0.3">
      <c r="B43" s="164" t="s">
        <v>0</v>
      </c>
      <c r="C43" s="165"/>
      <c r="D43" s="165"/>
      <c r="E43" s="165"/>
      <c r="F43" s="165"/>
      <c r="G43" s="165"/>
      <c r="H43" s="165"/>
      <c r="I43" s="166"/>
    </row>
    <row r="44" spans="2:10" ht="29.25" thickBot="1" x14ac:dyDescent="0.5">
      <c r="B44" s="146"/>
      <c r="C44" s="147"/>
      <c r="D44" s="147"/>
      <c r="E44" s="147"/>
      <c r="F44" s="148"/>
      <c r="G44" s="83">
        <f>SUM(G16:G39)</f>
        <v>427300</v>
      </c>
      <c r="H44" s="82"/>
      <c r="I44" s="81">
        <f>SUM(I16:I42)</f>
        <v>64696.2</v>
      </c>
    </row>
    <row r="46" spans="2:10" x14ac:dyDescent="0.2">
      <c r="D46" s="3"/>
      <c r="I46" s="3"/>
    </row>
    <row r="50" spans="4:4" x14ac:dyDescent="0.2">
      <c r="D50" s="2"/>
    </row>
  </sheetData>
  <mergeCells count="7">
    <mergeCell ref="B44:F44"/>
    <mergeCell ref="A1:I1"/>
    <mergeCell ref="A2:B3"/>
    <mergeCell ref="C2:G3"/>
    <mergeCell ref="B13:C13"/>
    <mergeCell ref="H13:I13"/>
    <mergeCell ref="B43:I43"/>
  </mergeCells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FD3D-4ACE-4A5A-9B22-1F20FA8A974C}">
  <sheetPr>
    <pageSetUpPr fitToPage="1"/>
  </sheetPr>
  <dimension ref="A1:J44"/>
  <sheetViews>
    <sheetView topLeftCell="A19" zoomScale="121" zoomScaleNormal="121" workbookViewId="0">
      <selection activeCell="H23" sqref="H23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227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225</v>
      </c>
      <c r="C13" s="162"/>
      <c r="D13" s="42"/>
      <c r="E13" s="41"/>
      <c r="F13" s="41"/>
      <c r="G13" s="41"/>
      <c r="H13" s="163" t="s">
        <v>226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8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69" t="s">
        <v>230</v>
      </c>
      <c r="C16" s="29" t="s">
        <v>232</v>
      </c>
      <c r="D16" s="84" t="s">
        <v>228</v>
      </c>
      <c r="E16" s="86">
        <v>47832</v>
      </c>
      <c r="F16" s="29">
        <v>1937321</v>
      </c>
      <c r="G16" s="80">
        <v>100000</v>
      </c>
      <c r="H16" s="74">
        <v>0.13800000000000001</v>
      </c>
      <c r="I16" s="64">
        <f>G16*H16</f>
        <v>13800.000000000002</v>
      </c>
    </row>
    <row r="17" spans="2:9" ht="18" customHeight="1" x14ac:dyDescent="0.25">
      <c r="B17" s="27" t="s">
        <v>17</v>
      </c>
      <c r="C17" s="29" t="s">
        <v>16</v>
      </c>
      <c r="D17" s="28" t="s">
        <v>228</v>
      </c>
      <c r="E17" s="86">
        <v>48773</v>
      </c>
      <c r="F17" s="29">
        <v>1970359</v>
      </c>
      <c r="G17" s="80">
        <v>48200</v>
      </c>
      <c r="H17" s="74">
        <v>0.16059999999999999</v>
      </c>
      <c r="I17" s="64">
        <f t="shared" ref="I17:I33" si="0">G17*H17</f>
        <v>7740.92</v>
      </c>
    </row>
    <row r="18" spans="2:9" ht="18" customHeight="1" x14ac:dyDescent="0.25">
      <c r="B18" s="32" t="s">
        <v>19</v>
      </c>
      <c r="C18" s="29" t="s">
        <v>18</v>
      </c>
      <c r="D18" s="28" t="s">
        <v>229</v>
      </c>
      <c r="E18" s="86">
        <v>48056</v>
      </c>
      <c r="F18" s="29">
        <v>1947010</v>
      </c>
      <c r="G18" s="80">
        <v>47700</v>
      </c>
      <c r="H18" s="74">
        <v>0.16830000000000001</v>
      </c>
      <c r="I18" s="64">
        <f t="shared" si="0"/>
        <v>8027.91</v>
      </c>
    </row>
    <row r="19" spans="2:9" ht="18" customHeight="1" x14ac:dyDescent="0.25">
      <c r="B19" s="32" t="s">
        <v>216</v>
      </c>
      <c r="C19" s="29" t="s">
        <v>20</v>
      </c>
      <c r="D19" s="28" t="s">
        <v>229</v>
      </c>
      <c r="E19" s="86">
        <v>48053</v>
      </c>
      <c r="F19" s="29">
        <v>1946981</v>
      </c>
      <c r="G19" s="80">
        <v>47700</v>
      </c>
      <c r="H19" s="74">
        <v>0.17480000000000001</v>
      </c>
      <c r="I19" s="64">
        <f t="shared" si="0"/>
        <v>8337.9600000000009</v>
      </c>
    </row>
    <row r="20" spans="2:9" ht="18" customHeight="1" x14ac:dyDescent="0.25">
      <c r="B20" s="32" t="s">
        <v>14</v>
      </c>
      <c r="C20" s="29" t="s">
        <v>13</v>
      </c>
      <c r="D20" s="28" t="s">
        <v>229</v>
      </c>
      <c r="E20" s="86">
        <v>48799</v>
      </c>
      <c r="F20" s="29">
        <v>1971651</v>
      </c>
      <c r="G20" s="80">
        <v>36000</v>
      </c>
      <c r="H20" s="74">
        <v>0.17519999999999999</v>
      </c>
      <c r="I20" s="64">
        <f t="shared" si="0"/>
        <v>6307.2</v>
      </c>
    </row>
    <row r="21" spans="2:9" ht="18" customHeight="1" x14ac:dyDescent="0.25">
      <c r="B21" s="32" t="s">
        <v>19</v>
      </c>
      <c r="C21" s="29" t="s">
        <v>18</v>
      </c>
      <c r="D21" s="28" t="s">
        <v>229</v>
      </c>
      <c r="E21" s="86">
        <v>48055</v>
      </c>
      <c r="F21" s="29">
        <v>1947001</v>
      </c>
      <c r="G21" s="80">
        <v>25000</v>
      </c>
      <c r="H21" s="74">
        <v>0.16830000000000001</v>
      </c>
      <c r="I21" s="64">
        <f t="shared" ref="I21" si="1">G21*H21</f>
        <v>4207.5</v>
      </c>
    </row>
    <row r="22" spans="2:9" ht="18" customHeight="1" x14ac:dyDescent="0.25">
      <c r="B22" s="32" t="s">
        <v>12</v>
      </c>
      <c r="C22" s="29" t="s">
        <v>11</v>
      </c>
      <c r="D22" s="28" t="s">
        <v>229</v>
      </c>
      <c r="E22" s="86">
        <v>48665</v>
      </c>
      <c r="F22" s="29">
        <v>1966860</v>
      </c>
      <c r="G22" s="80">
        <v>21000</v>
      </c>
      <c r="H22" s="74">
        <v>0.21529999999999999</v>
      </c>
      <c r="I22" s="64">
        <f t="shared" si="0"/>
        <v>4521.3</v>
      </c>
    </row>
    <row r="23" spans="2:9" ht="18" customHeight="1" x14ac:dyDescent="0.25">
      <c r="B23" s="32" t="s">
        <v>97</v>
      </c>
      <c r="C23" s="29" t="s">
        <v>110</v>
      </c>
      <c r="D23" s="28" t="s">
        <v>229</v>
      </c>
      <c r="E23" s="86">
        <v>48548</v>
      </c>
      <c r="F23" s="29">
        <v>1962754</v>
      </c>
      <c r="G23" s="80">
        <v>15800</v>
      </c>
      <c r="H23" s="74">
        <v>0.15190000000000001</v>
      </c>
      <c r="I23" s="64">
        <f t="shared" si="0"/>
        <v>2400.02</v>
      </c>
    </row>
    <row r="24" spans="2:9" ht="18" customHeight="1" x14ac:dyDescent="0.25">
      <c r="B24" s="27" t="s">
        <v>234</v>
      </c>
      <c r="C24" s="89" t="s">
        <v>22</v>
      </c>
      <c r="D24" s="28" t="s">
        <v>228</v>
      </c>
      <c r="E24" s="87">
        <v>48412</v>
      </c>
      <c r="F24" s="13">
        <v>1958991</v>
      </c>
      <c r="G24" s="71">
        <v>15000</v>
      </c>
      <c r="H24" s="75">
        <v>0.13800000000000001</v>
      </c>
      <c r="I24" s="64">
        <f t="shared" si="0"/>
        <v>2070</v>
      </c>
    </row>
    <row r="25" spans="2:9" ht="18" customHeight="1" x14ac:dyDescent="0.25">
      <c r="B25" s="32" t="s">
        <v>21</v>
      </c>
      <c r="C25" s="29" t="s">
        <v>20</v>
      </c>
      <c r="D25" s="65" t="s">
        <v>229</v>
      </c>
      <c r="E25" s="86">
        <v>47969</v>
      </c>
      <c r="F25" s="29">
        <v>1942518</v>
      </c>
      <c r="G25" s="80">
        <v>10600</v>
      </c>
      <c r="H25" s="74">
        <v>0.17480000000000001</v>
      </c>
      <c r="I25" s="64">
        <f t="shared" si="0"/>
        <v>1852.88</v>
      </c>
    </row>
    <row r="26" spans="2:9" ht="18" customHeight="1" x14ac:dyDescent="0.25">
      <c r="B26" s="32" t="s">
        <v>63</v>
      </c>
      <c r="C26" s="29" t="s">
        <v>75</v>
      </c>
      <c r="D26" s="28" t="s">
        <v>229</v>
      </c>
      <c r="E26" s="86">
        <v>48671</v>
      </c>
      <c r="F26" s="29">
        <v>1966923</v>
      </c>
      <c r="G26" s="80">
        <v>12000</v>
      </c>
      <c r="H26" s="74">
        <v>0.20119999999999999</v>
      </c>
      <c r="I26" s="64">
        <f t="shared" si="0"/>
        <v>2414.4</v>
      </c>
    </row>
    <row r="27" spans="2:9" ht="18" customHeight="1" x14ac:dyDescent="0.25">
      <c r="B27" s="32" t="s">
        <v>10</v>
      </c>
      <c r="C27" s="29" t="s">
        <v>9</v>
      </c>
      <c r="D27" s="28" t="s">
        <v>229</v>
      </c>
      <c r="E27" s="86">
        <v>48847</v>
      </c>
      <c r="F27" s="29">
        <v>1972805</v>
      </c>
      <c r="G27" s="80">
        <v>11000</v>
      </c>
      <c r="H27" s="74">
        <v>0.21529999999999999</v>
      </c>
      <c r="I27" s="64">
        <f t="shared" si="0"/>
        <v>2368.2999999999997</v>
      </c>
    </row>
    <row r="28" spans="2:9" ht="18" customHeight="1" x14ac:dyDescent="0.25">
      <c r="B28" s="32" t="s">
        <v>143</v>
      </c>
      <c r="C28" s="29" t="s">
        <v>145</v>
      </c>
      <c r="D28" s="28" t="s">
        <v>229</v>
      </c>
      <c r="E28" s="86">
        <v>48518</v>
      </c>
      <c r="F28" s="29">
        <v>1961911</v>
      </c>
      <c r="G28" s="80">
        <v>6900</v>
      </c>
      <c r="H28" s="74">
        <v>0.15679999999999999</v>
      </c>
      <c r="I28" s="64">
        <f t="shared" si="0"/>
        <v>1081.92</v>
      </c>
    </row>
    <row r="29" spans="2:9" ht="18" customHeight="1" x14ac:dyDescent="0.25">
      <c r="B29" s="32" t="s">
        <v>123</v>
      </c>
      <c r="C29" s="29" t="s">
        <v>134</v>
      </c>
      <c r="D29" s="28" t="s">
        <v>229</v>
      </c>
      <c r="E29" s="86">
        <v>48673</v>
      </c>
      <c r="F29" s="29">
        <v>1966940</v>
      </c>
      <c r="G29" s="80">
        <v>5500</v>
      </c>
      <c r="H29" s="74">
        <v>0.20399999999999999</v>
      </c>
      <c r="I29" s="64">
        <f t="shared" si="0"/>
        <v>1122</v>
      </c>
    </row>
    <row r="30" spans="2:9" ht="18" customHeight="1" x14ac:dyDescent="0.25">
      <c r="B30" s="32" t="s">
        <v>12</v>
      </c>
      <c r="C30" s="29" t="s">
        <v>11</v>
      </c>
      <c r="D30" s="28" t="s">
        <v>229</v>
      </c>
      <c r="E30" s="86">
        <v>48514</v>
      </c>
      <c r="F30" s="29">
        <v>1961858</v>
      </c>
      <c r="G30" s="80">
        <v>1500</v>
      </c>
      <c r="H30" s="74">
        <v>0.21529999999999999</v>
      </c>
      <c r="I30" s="64">
        <f t="shared" si="0"/>
        <v>322.95</v>
      </c>
    </row>
    <row r="31" spans="2:9" ht="18" customHeight="1" x14ac:dyDescent="0.25">
      <c r="B31" s="32" t="s">
        <v>236</v>
      </c>
      <c r="C31" s="29" t="s">
        <v>235</v>
      </c>
      <c r="D31" s="28" t="s">
        <v>229</v>
      </c>
      <c r="E31" s="86">
        <v>48259</v>
      </c>
      <c r="F31" s="29">
        <v>1952804</v>
      </c>
      <c r="G31" s="80">
        <v>1300</v>
      </c>
      <c r="H31" s="74">
        <v>0.14810000000000001</v>
      </c>
      <c r="I31" s="64">
        <f t="shared" si="0"/>
        <v>192.53</v>
      </c>
    </row>
    <row r="32" spans="2:9" ht="18" customHeight="1" x14ac:dyDescent="0.25">
      <c r="B32" s="32" t="s">
        <v>231</v>
      </c>
      <c r="C32" s="29" t="s">
        <v>233</v>
      </c>
      <c r="D32" s="28" t="s">
        <v>229</v>
      </c>
      <c r="E32" s="86">
        <v>48678</v>
      </c>
      <c r="F32" s="29">
        <v>1966991</v>
      </c>
      <c r="G32" s="80">
        <v>1200</v>
      </c>
      <c r="H32" s="74">
        <v>0.2041</v>
      </c>
      <c r="I32" s="64">
        <f t="shared" si="0"/>
        <v>244.92000000000002</v>
      </c>
    </row>
    <row r="33" spans="2:9" ht="18" customHeight="1" thickBot="1" x14ac:dyDescent="0.3">
      <c r="B33" s="88" t="s">
        <v>153</v>
      </c>
      <c r="C33" s="13" t="s">
        <v>158</v>
      </c>
      <c r="D33" s="85" t="s">
        <v>229</v>
      </c>
      <c r="E33" s="87">
        <v>48476</v>
      </c>
      <c r="F33" s="13">
        <v>1961022</v>
      </c>
      <c r="G33" s="71">
        <v>600</v>
      </c>
      <c r="H33" s="75">
        <v>0.17849999999999999</v>
      </c>
      <c r="I33" s="64">
        <f t="shared" si="0"/>
        <v>107.1</v>
      </c>
    </row>
    <row r="34" spans="2:9" ht="15.75" x14ac:dyDescent="0.25">
      <c r="B34" s="21" t="s">
        <v>3</v>
      </c>
      <c r="C34" s="20"/>
      <c r="D34" s="15"/>
      <c r="E34" s="20"/>
      <c r="F34" s="20"/>
      <c r="G34" s="19"/>
      <c r="H34" s="18">
        <v>800</v>
      </c>
      <c r="I34" s="17">
        <v>800</v>
      </c>
    </row>
    <row r="35" spans="2:9" ht="15.75" x14ac:dyDescent="0.25">
      <c r="B35" s="16" t="s">
        <v>2</v>
      </c>
      <c r="C35" s="15"/>
      <c r="D35" s="15"/>
      <c r="E35" s="15"/>
      <c r="F35" s="15"/>
      <c r="G35" s="14"/>
      <c r="H35" s="13">
        <v>250</v>
      </c>
      <c r="I35" s="12">
        <v>250</v>
      </c>
    </row>
    <row r="36" spans="2:9" ht="16.5" thickBot="1" x14ac:dyDescent="0.3">
      <c r="B36" s="11" t="s">
        <v>1</v>
      </c>
      <c r="C36" s="10"/>
      <c r="D36" s="10"/>
      <c r="E36" s="10"/>
      <c r="F36" s="10"/>
      <c r="G36" s="9"/>
      <c r="H36" s="8">
        <v>450</v>
      </c>
      <c r="I36" s="7">
        <v>450</v>
      </c>
    </row>
    <row r="37" spans="2:9" ht="15.75" thickBot="1" x14ac:dyDescent="0.3">
      <c r="B37" s="164" t="s">
        <v>0</v>
      </c>
      <c r="C37" s="165"/>
      <c r="D37" s="165"/>
      <c r="E37" s="165"/>
      <c r="F37" s="165"/>
      <c r="G37" s="165"/>
      <c r="H37" s="165"/>
      <c r="I37" s="166"/>
    </row>
    <row r="38" spans="2:9" ht="29.25" thickBot="1" x14ac:dyDescent="0.5">
      <c r="B38" s="146"/>
      <c r="C38" s="147"/>
      <c r="D38" s="147"/>
      <c r="E38" s="147"/>
      <c r="F38" s="148"/>
      <c r="G38" s="83">
        <f>SUM(G16:G33)</f>
        <v>407000</v>
      </c>
      <c r="H38" s="82"/>
      <c r="I38" s="81">
        <f>SUM(I16:I36)</f>
        <v>68619.81</v>
      </c>
    </row>
    <row r="40" spans="2:9" x14ac:dyDescent="0.2">
      <c r="D40" s="3"/>
      <c r="I40" s="3"/>
    </row>
    <row r="44" spans="2:9" x14ac:dyDescent="0.2">
      <c r="D44" s="2"/>
    </row>
  </sheetData>
  <mergeCells count="7">
    <mergeCell ref="B38:F38"/>
    <mergeCell ref="A1:I1"/>
    <mergeCell ref="A2:B3"/>
    <mergeCell ref="C2:G3"/>
    <mergeCell ref="B13:C13"/>
    <mergeCell ref="H13:I13"/>
    <mergeCell ref="B37:I37"/>
  </mergeCells>
  <printOptions horizontalCentered="1"/>
  <pageMargins left="0.11811023622047245" right="0.11811023622047245" top="0.31496062992125984" bottom="0.19685039370078741" header="0.31496062992125984" footer="0.9055118110236221"/>
  <pageSetup scale="71" orientation="portrait" r:id="rId1"/>
  <headerFooter alignWithMargins="0">
    <oddFooter>&amp;L&amp;16&amp;N de &amp;N&amp;R&amp;16FPL-12  Rev 01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92F90-905D-4BE4-9994-D0943489E821}">
  <sheetPr>
    <pageSetUpPr fitToPage="1"/>
  </sheetPr>
  <dimension ref="A1:J42"/>
  <sheetViews>
    <sheetView topLeftCell="A17" zoomScale="121" zoomScaleNormal="121" workbookViewId="0">
      <selection activeCell="C21" sqref="C21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7.7109375" style="1" bestFit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214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213</v>
      </c>
      <c r="C13" s="162"/>
      <c r="D13" s="42"/>
      <c r="E13" s="41"/>
      <c r="F13" s="41"/>
      <c r="G13" s="41"/>
      <c r="H13" s="163" t="s">
        <v>215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32" t="s">
        <v>101</v>
      </c>
      <c r="C16" s="32" t="s">
        <v>114</v>
      </c>
      <c r="D16" s="84" t="s">
        <v>223</v>
      </c>
      <c r="E16" s="32">
        <v>48407</v>
      </c>
      <c r="F16" s="29">
        <v>1958894</v>
      </c>
      <c r="G16" s="80">
        <v>100000</v>
      </c>
      <c r="H16" s="74">
        <v>0.13800000000000001</v>
      </c>
      <c r="I16" s="64">
        <f>G16*H16</f>
        <v>13800.000000000002</v>
      </c>
    </row>
    <row r="17" spans="2:9" ht="18" customHeight="1" x14ac:dyDescent="0.25">
      <c r="B17" s="32" t="s">
        <v>25</v>
      </c>
      <c r="C17" s="32" t="s">
        <v>24</v>
      </c>
      <c r="D17" s="65" t="s">
        <v>223</v>
      </c>
      <c r="E17" s="32">
        <v>48691</v>
      </c>
      <c r="F17" s="29">
        <v>1967133</v>
      </c>
      <c r="G17" s="80">
        <v>100000</v>
      </c>
      <c r="H17" s="74">
        <v>9.1200000000000003E-2</v>
      </c>
      <c r="I17" s="64">
        <f t="shared" ref="I17:I31" si="0">G17*H17</f>
        <v>9120</v>
      </c>
    </row>
    <row r="18" spans="2:9" ht="18" customHeight="1" x14ac:dyDescent="0.25">
      <c r="B18" s="32" t="s">
        <v>216</v>
      </c>
      <c r="C18" s="32" t="s">
        <v>20</v>
      </c>
      <c r="D18" s="65" t="s">
        <v>224</v>
      </c>
      <c r="E18" s="32">
        <v>47969</v>
      </c>
      <c r="F18" s="29">
        <v>1942518</v>
      </c>
      <c r="G18" s="80">
        <v>49400</v>
      </c>
      <c r="H18" s="74">
        <v>0.17480000000000001</v>
      </c>
      <c r="I18" s="64">
        <f t="shared" ref="I18" si="1">G18*H18</f>
        <v>8635.1200000000008</v>
      </c>
    </row>
    <row r="19" spans="2:9" ht="18" customHeight="1" x14ac:dyDescent="0.25">
      <c r="B19" s="32" t="s">
        <v>17</v>
      </c>
      <c r="C19" s="32" t="s">
        <v>16</v>
      </c>
      <c r="D19" s="65" t="s">
        <v>223</v>
      </c>
      <c r="E19" s="32">
        <v>48773</v>
      </c>
      <c r="F19" s="29">
        <v>1970359</v>
      </c>
      <c r="G19" s="80">
        <v>35000</v>
      </c>
      <c r="H19" s="74">
        <v>0.16059999999999999</v>
      </c>
      <c r="I19" s="64">
        <f t="shared" si="0"/>
        <v>5621</v>
      </c>
    </row>
    <row r="20" spans="2:9" ht="18" customHeight="1" x14ac:dyDescent="0.25">
      <c r="B20" s="32" t="s">
        <v>62</v>
      </c>
      <c r="C20" s="32" t="s">
        <v>74</v>
      </c>
      <c r="D20" s="65" t="s">
        <v>224</v>
      </c>
      <c r="E20" s="32">
        <v>48562</v>
      </c>
      <c r="F20" s="29">
        <v>1963061</v>
      </c>
      <c r="G20" s="80">
        <v>20000</v>
      </c>
      <c r="H20" s="74">
        <v>0.16009999999999999</v>
      </c>
      <c r="I20" s="64">
        <f t="shared" si="0"/>
        <v>3202</v>
      </c>
    </row>
    <row r="21" spans="2:9" ht="18" customHeight="1" x14ac:dyDescent="0.25">
      <c r="B21" s="32" t="s">
        <v>97</v>
      </c>
      <c r="C21" s="32" t="s">
        <v>110</v>
      </c>
      <c r="D21" s="65" t="s">
        <v>224</v>
      </c>
      <c r="E21" s="32">
        <v>48550</v>
      </c>
      <c r="F21" s="29">
        <v>1962789</v>
      </c>
      <c r="G21" s="80">
        <v>20000</v>
      </c>
      <c r="H21" s="74">
        <v>0.15190000000000001</v>
      </c>
      <c r="I21" s="64">
        <f t="shared" si="0"/>
        <v>3038</v>
      </c>
    </row>
    <row r="22" spans="2:9" ht="18" customHeight="1" x14ac:dyDescent="0.25">
      <c r="B22" s="32" t="s">
        <v>143</v>
      </c>
      <c r="C22" s="32" t="s">
        <v>145</v>
      </c>
      <c r="D22" s="65" t="s">
        <v>224</v>
      </c>
      <c r="E22" s="32">
        <v>48518</v>
      </c>
      <c r="F22" s="29">
        <v>1961911</v>
      </c>
      <c r="G22" s="80">
        <v>13100</v>
      </c>
      <c r="H22" s="74">
        <v>0.15679999999999999</v>
      </c>
      <c r="I22" s="64">
        <f t="shared" si="0"/>
        <v>2054.08</v>
      </c>
    </row>
    <row r="23" spans="2:9" ht="18" customHeight="1" x14ac:dyDescent="0.25">
      <c r="B23" s="32" t="s">
        <v>19</v>
      </c>
      <c r="C23" s="32" t="s">
        <v>18</v>
      </c>
      <c r="D23" s="65" t="s">
        <v>224</v>
      </c>
      <c r="E23" s="32">
        <v>48055</v>
      </c>
      <c r="F23" s="29">
        <v>1947001</v>
      </c>
      <c r="G23" s="80">
        <v>12600</v>
      </c>
      <c r="H23" s="74">
        <v>0.16830000000000001</v>
      </c>
      <c r="I23" s="64">
        <f t="shared" si="0"/>
        <v>2120.58</v>
      </c>
    </row>
    <row r="24" spans="2:9" ht="18" customHeight="1" x14ac:dyDescent="0.25">
      <c r="B24" s="32" t="s">
        <v>10</v>
      </c>
      <c r="C24" s="32" t="s">
        <v>9</v>
      </c>
      <c r="D24" s="65" t="s">
        <v>224</v>
      </c>
      <c r="E24" s="32">
        <v>48395</v>
      </c>
      <c r="F24" s="29">
        <v>1958552</v>
      </c>
      <c r="G24" s="80">
        <v>11000</v>
      </c>
      <c r="H24" s="74">
        <v>0.21529999999999999</v>
      </c>
      <c r="I24" s="64">
        <f t="shared" si="0"/>
        <v>2368.2999999999997</v>
      </c>
    </row>
    <row r="25" spans="2:9" ht="18" customHeight="1" x14ac:dyDescent="0.25">
      <c r="B25" s="32" t="s">
        <v>102</v>
      </c>
      <c r="C25" s="32" t="s">
        <v>115</v>
      </c>
      <c r="D25" s="65" t="s">
        <v>224</v>
      </c>
      <c r="E25" s="32">
        <v>48567</v>
      </c>
      <c r="F25" s="29">
        <v>1963132</v>
      </c>
      <c r="G25" s="80">
        <v>11000</v>
      </c>
      <c r="H25" s="74">
        <v>0.21110000000000001</v>
      </c>
      <c r="I25" s="64">
        <f t="shared" si="0"/>
        <v>2322.1</v>
      </c>
    </row>
    <row r="26" spans="2:9" ht="18" customHeight="1" x14ac:dyDescent="0.25">
      <c r="B26" s="32" t="s">
        <v>217</v>
      </c>
      <c r="C26" s="32" t="s">
        <v>222</v>
      </c>
      <c r="D26" s="65" t="s">
        <v>224</v>
      </c>
      <c r="E26" s="32">
        <v>48370</v>
      </c>
      <c r="F26" s="29">
        <v>1957971</v>
      </c>
      <c r="G26" s="80">
        <v>11000</v>
      </c>
      <c r="H26" s="74">
        <v>0.24590000000000001</v>
      </c>
      <c r="I26" s="64">
        <f t="shared" si="0"/>
        <v>2704.9</v>
      </c>
    </row>
    <row r="27" spans="2:9" ht="18" customHeight="1" x14ac:dyDescent="0.25">
      <c r="B27" s="32" t="s">
        <v>123</v>
      </c>
      <c r="C27" s="32" t="s">
        <v>134</v>
      </c>
      <c r="D27" s="65" t="s">
        <v>224</v>
      </c>
      <c r="E27" s="32">
        <v>48673</v>
      </c>
      <c r="F27" s="29">
        <v>1966940</v>
      </c>
      <c r="G27" s="80">
        <v>10500</v>
      </c>
      <c r="H27" s="74">
        <v>0.20399999999999999</v>
      </c>
      <c r="I27" s="64">
        <f t="shared" si="0"/>
        <v>2142</v>
      </c>
    </row>
    <row r="28" spans="2:9" ht="18" customHeight="1" x14ac:dyDescent="0.25">
      <c r="B28" s="32" t="s">
        <v>218</v>
      </c>
      <c r="C28" s="32" t="s">
        <v>221</v>
      </c>
      <c r="D28" s="65" t="s">
        <v>224</v>
      </c>
      <c r="E28" s="32">
        <v>48406</v>
      </c>
      <c r="F28" s="29">
        <v>1958886</v>
      </c>
      <c r="G28" s="80">
        <v>10000</v>
      </c>
      <c r="H28" s="74">
        <v>0.1867</v>
      </c>
      <c r="I28" s="64">
        <f t="shared" ref="I28" si="2">G28*H28</f>
        <v>1867</v>
      </c>
    </row>
    <row r="29" spans="2:9" ht="18" customHeight="1" x14ac:dyDescent="0.25">
      <c r="B29" s="32" t="s">
        <v>12</v>
      </c>
      <c r="C29" s="32" t="s">
        <v>11</v>
      </c>
      <c r="D29" s="65" t="s">
        <v>224</v>
      </c>
      <c r="E29" s="32">
        <v>48514</v>
      </c>
      <c r="F29" s="29">
        <v>1961858</v>
      </c>
      <c r="G29" s="80">
        <v>9500</v>
      </c>
      <c r="H29" s="74">
        <v>0.21529999999999999</v>
      </c>
      <c r="I29" s="64">
        <f t="shared" si="0"/>
        <v>2045.35</v>
      </c>
    </row>
    <row r="30" spans="2:9" ht="18" customHeight="1" x14ac:dyDescent="0.25">
      <c r="B30" s="27" t="s">
        <v>189</v>
      </c>
      <c r="C30" s="32" t="s">
        <v>205</v>
      </c>
      <c r="D30" s="65" t="s">
        <v>224</v>
      </c>
      <c r="E30" s="32">
        <v>48630</v>
      </c>
      <c r="F30" s="29">
        <v>1966149</v>
      </c>
      <c r="G30" s="71">
        <v>9100</v>
      </c>
      <c r="H30" s="74">
        <v>0.14269999999999999</v>
      </c>
      <c r="I30" s="64">
        <f t="shared" si="0"/>
        <v>1298.57</v>
      </c>
    </row>
    <row r="31" spans="2:9" ht="18" customHeight="1" thickBot="1" x14ac:dyDescent="0.3">
      <c r="B31" s="27" t="s">
        <v>219</v>
      </c>
      <c r="C31" s="27" t="s">
        <v>220</v>
      </c>
      <c r="D31" s="85" t="s">
        <v>224</v>
      </c>
      <c r="E31" s="27">
        <v>48725</v>
      </c>
      <c r="F31" s="13">
        <v>1968486</v>
      </c>
      <c r="G31" s="71">
        <v>3000</v>
      </c>
      <c r="H31" s="75">
        <v>0.18160000000000001</v>
      </c>
      <c r="I31" s="64">
        <f t="shared" si="0"/>
        <v>544.80000000000007</v>
      </c>
    </row>
    <row r="32" spans="2:9" ht="15.75" x14ac:dyDescent="0.25">
      <c r="B32" s="21" t="s">
        <v>3</v>
      </c>
      <c r="C32" s="20"/>
      <c r="D32" s="15"/>
      <c r="E32" s="20"/>
      <c r="F32" s="20"/>
      <c r="G32" s="19"/>
      <c r="H32" s="18">
        <v>800</v>
      </c>
      <c r="I32" s="17">
        <v>800</v>
      </c>
    </row>
    <row r="33" spans="2:9" ht="15.75" x14ac:dyDescent="0.25">
      <c r="B33" s="16" t="s">
        <v>2</v>
      </c>
      <c r="C33" s="15"/>
      <c r="D33" s="15"/>
      <c r="E33" s="15"/>
      <c r="F33" s="15"/>
      <c r="G33" s="14"/>
      <c r="H33" s="13">
        <v>250</v>
      </c>
      <c r="I33" s="12">
        <v>250</v>
      </c>
    </row>
    <row r="34" spans="2:9" ht="16.5" thickBot="1" x14ac:dyDescent="0.3">
      <c r="B34" s="11" t="s">
        <v>1</v>
      </c>
      <c r="C34" s="10"/>
      <c r="D34" s="10"/>
      <c r="E34" s="10"/>
      <c r="F34" s="10"/>
      <c r="G34" s="9"/>
      <c r="H34" s="8">
        <v>450</v>
      </c>
      <c r="I34" s="7">
        <v>450</v>
      </c>
    </row>
    <row r="35" spans="2:9" ht="15.75" thickBot="1" x14ac:dyDescent="0.3">
      <c r="B35" s="164" t="s">
        <v>0</v>
      </c>
      <c r="C35" s="165"/>
      <c r="D35" s="165"/>
      <c r="E35" s="165"/>
      <c r="F35" s="165"/>
      <c r="G35" s="165"/>
      <c r="H35" s="165"/>
      <c r="I35" s="166"/>
    </row>
    <row r="36" spans="2:9" ht="29.25" thickBot="1" x14ac:dyDescent="0.5">
      <c r="B36" s="146"/>
      <c r="C36" s="147"/>
      <c r="D36" s="147"/>
      <c r="E36" s="147"/>
      <c r="F36" s="148"/>
      <c r="G36" s="83">
        <f>SUM(G16:G31)</f>
        <v>425200</v>
      </c>
      <c r="H36" s="82"/>
      <c r="I36" s="81">
        <f>SUM(I16:I34)</f>
        <v>64383.80000000001</v>
      </c>
    </row>
    <row r="38" spans="2:9" x14ac:dyDescent="0.2">
      <c r="D38" s="3"/>
      <c r="I38" s="3"/>
    </row>
    <row r="42" spans="2:9" x14ac:dyDescent="0.2">
      <c r="D42" s="2"/>
    </row>
  </sheetData>
  <mergeCells count="7">
    <mergeCell ref="B36:F36"/>
    <mergeCell ref="A1:I1"/>
    <mergeCell ref="A2:B3"/>
    <mergeCell ref="C2:G3"/>
    <mergeCell ref="B13:C13"/>
    <mergeCell ref="H13:I13"/>
    <mergeCell ref="B35:I35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50EB-7251-47B5-9902-5077B3F478C1}">
  <sheetPr>
    <pageSetUpPr fitToPage="1"/>
  </sheetPr>
  <dimension ref="A1:J38"/>
  <sheetViews>
    <sheetView topLeftCell="A19" zoomScale="121" zoomScaleNormal="121" workbookViewId="0">
      <selection activeCell="C23" sqref="C23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207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206</v>
      </c>
      <c r="C13" s="162"/>
      <c r="D13" s="42"/>
      <c r="E13" s="41"/>
      <c r="F13" s="41"/>
      <c r="G13" s="41"/>
      <c r="H13" s="163" t="s">
        <v>208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32" t="s">
        <v>101</v>
      </c>
      <c r="C16" s="32" t="s">
        <v>114</v>
      </c>
      <c r="D16" s="84" t="s">
        <v>211</v>
      </c>
      <c r="E16" s="32">
        <v>48560</v>
      </c>
      <c r="F16" s="29">
        <v>1963044</v>
      </c>
      <c r="G16" s="80">
        <v>100000</v>
      </c>
      <c r="H16" s="74">
        <v>0.13800000000000001</v>
      </c>
      <c r="I16" s="64">
        <f>G16*H16</f>
        <v>13800.000000000002</v>
      </c>
    </row>
    <row r="17" spans="2:9" ht="18" customHeight="1" x14ac:dyDescent="0.25">
      <c r="B17" s="32" t="s">
        <v>19</v>
      </c>
      <c r="C17" s="32" t="s">
        <v>18</v>
      </c>
      <c r="D17" s="65" t="s">
        <v>212</v>
      </c>
      <c r="E17" s="32">
        <v>48055</v>
      </c>
      <c r="F17" s="29">
        <v>1947001</v>
      </c>
      <c r="G17" s="80">
        <v>62400</v>
      </c>
      <c r="H17" s="74">
        <v>0.16830000000000001</v>
      </c>
      <c r="I17" s="64">
        <f t="shared" ref="I17:I27" si="0">G17*H17</f>
        <v>10501.92</v>
      </c>
    </row>
    <row r="18" spans="2:9" ht="18" customHeight="1" x14ac:dyDescent="0.25">
      <c r="B18" s="32" t="s">
        <v>101</v>
      </c>
      <c r="C18" s="32" t="s">
        <v>114</v>
      </c>
      <c r="D18" s="65" t="s">
        <v>211</v>
      </c>
      <c r="E18" s="32">
        <v>48004</v>
      </c>
      <c r="F18" s="29">
        <v>1943537</v>
      </c>
      <c r="G18" s="80">
        <v>23600</v>
      </c>
      <c r="H18" s="74">
        <v>0.13800000000000001</v>
      </c>
      <c r="I18" s="64">
        <f t="shared" si="0"/>
        <v>3256.8</v>
      </c>
    </row>
    <row r="19" spans="2:9" ht="18" customHeight="1" x14ac:dyDescent="0.25">
      <c r="B19" s="32" t="s">
        <v>97</v>
      </c>
      <c r="C19" s="32" t="s">
        <v>110</v>
      </c>
      <c r="D19" s="65" t="s">
        <v>212</v>
      </c>
      <c r="E19" s="32">
        <v>48379</v>
      </c>
      <c r="F19" s="29">
        <v>1958405</v>
      </c>
      <c r="G19" s="80">
        <v>20000</v>
      </c>
      <c r="H19" s="74">
        <v>0.15190000000000001</v>
      </c>
      <c r="I19" s="64">
        <f t="shared" si="0"/>
        <v>3038</v>
      </c>
    </row>
    <row r="20" spans="2:9" ht="18" customHeight="1" x14ac:dyDescent="0.25">
      <c r="B20" s="32" t="s">
        <v>62</v>
      </c>
      <c r="C20" s="32" t="s">
        <v>74</v>
      </c>
      <c r="D20" s="65" t="s">
        <v>212</v>
      </c>
      <c r="E20" s="32">
        <v>48189</v>
      </c>
      <c r="F20" s="29">
        <v>1951051</v>
      </c>
      <c r="G20" s="80">
        <v>20000</v>
      </c>
      <c r="H20" s="74">
        <v>0.16009999999999999</v>
      </c>
      <c r="I20" s="64">
        <f t="shared" si="0"/>
        <v>3202</v>
      </c>
    </row>
    <row r="21" spans="2:9" ht="18" customHeight="1" x14ac:dyDescent="0.25">
      <c r="B21" s="32" t="s">
        <v>62</v>
      </c>
      <c r="C21" s="32" t="s">
        <v>74</v>
      </c>
      <c r="D21" s="65" t="s">
        <v>212</v>
      </c>
      <c r="E21" s="32">
        <v>48561</v>
      </c>
      <c r="F21" s="29">
        <v>1963052</v>
      </c>
      <c r="G21" s="80">
        <v>20000</v>
      </c>
      <c r="H21" s="74">
        <v>0.16009999999999999</v>
      </c>
      <c r="I21" s="64">
        <f t="shared" si="0"/>
        <v>3202</v>
      </c>
    </row>
    <row r="22" spans="2:9" ht="18" customHeight="1" x14ac:dyDescent="0.25">
      <c r="B22" s="32" t="s">
        <v>12</v>
      </c>
      <c r="C22" s="32" t="s">
        <v>11</v>
      </c>
      <c r="D22" s="65" t="s">
        <v>212</v>
      </c>
      <c r="E22" s="32">
        <v>48513</v>
      </c>
      <c r="F22" s="29">
        <v>1961840</v>
      </c>
      <c r="G22" s="80">
        <v>16000</v>
      </c>
      <c r="H22" s="74">
        <v>0.21529999999999999</v>
      </c>
      <c r="I22" s="64">
        <f t="shared" si="0"/>
        <v>3444.7999999999997</v>
      </c>
    </row>
    <row r="23" spans="2:9" ht="18" customHeight="1" x14ac:dyDescent="0.25">
      <c r="B23" s="32" t="s">
        <v>209</v>
      </c>
      <c r="C23" s="32" t="s">
        <v>210</v>
      </c>
      <c r="D23" s="65" t="s">
        <v>212</v>
      </c>
      <c r="E23" s="32">
        <v>48374</v>
      </c>
      <c r="F23" s="29">
        <v>1958350</v>
      </c>
      <c r="G23" s="80">
        <v>12000</v>
      </c>
      <c r="H23" s="74">
        <v>0.16339999999999999</v>
      </c>
      <c r="I23" s="64">
        <f t="shared" si="0"/>
        <v>1960.8</v>
      </c>
    </row>
    <row r="24" spans="2:9" ht="18" customHeight="1" x14ac:dyDescent="0.25">
      <c r="B24" s="32" t="s">
        <v>14</v>
      </c>
      <c r="C24" s="32" t="s">
        <v>13</v>
      </c>
      <c r="D24" s="65" t="s">
        <v>212</v>
      </c>
      <c r="E24" s="32">
        <v>48798</v>
      </c>
      <c r="F24" s="29">
        <v>1971642</v>
      </c>
      <c r="G24" s="80">
        <v>12000</v>
      </c>
      <c r="H24" s="74">
        <v>0.17519999999999999</v>
      </c>
      <c r="I24" s="64">
        <f t="shared" si="0"/>
        <v>2102.4</v>
      </c>
    </row>
    <row r="25" spans="2:9" ht="18" customHeight="1" x14ac:dyDescent="0.25">
      <c r="B25" s="27" t="s">
        <v>102</v>
      </c>
      <c r="C25" s="32" t="s">
        <v>115</v>
      </c>
      <c r="D25" s="65" t="s">
        <v>212</v>
      </c>
      <c r="E25" s="32">
        <v>48394</v>
      </c>
      <c r="F25" s="29">
        <v>1958536</v>
      </c>
      <c r="G25" s="71">
        <v>11000</v>
      </c>
      <c r="H25" s="74">
        <v>0.21110000000000001</v>
      </c>
      <c r="I25" s="64">
        <f t="shared" si="0"/>
        <v>2322.1</v>
      </c>
    </row>
    <row r="26" spans="2:9" ht="18" customHeight="1" x14ac:dyDescent="0.25">
      <c r="B26" s="27" t="s">
        <v>61</v>
      </c>
      <c r="C26" s="32" t="s">
        <v>73</v>
      </c>
      <c r="D26" s="65" t="s">
        <v>212</v>
      </c>
      <c r="E26" s="32">
        <v>48177</v>
      </c>
      <c r="F26" s="29">
        <v>1950868</v>
      </c>
      <c r="G26" s="71">
        <v>11000</v>
      </c>
      <c r="H26" s="74">
        <v>0.2276</v>
      </c>
      <c r="I26" s="64">
        <f t="shared" si="0"/>
        <v>2503.6</v>
      </c>
    </row>
    <row r="27" spans="2:9" ht="18" customHeight="1" thickBot="1" x14ac:dyDescent="0.3">
      <c r="B27" s="27" t="s">
        <v>123</v>
      </c>
      <c r="C27" s="27" t="s">
        <v>134</v>
      </c>
      <c r="D27" s="85" t="s">
        <v>212</v>
      </c>
      <c r="E27" s="27">
        <v>48672</v>
      </c>
      <c r="F27" s="13">
        <v>1966931</v>
      </c>
      <c r="G27" s="71">
        <v>11000</v>
      </c>
      <c r="H27" s="75">
        <v>0.20399999999999999</v>
      </c>
      <c r="I27" s="64">
        <f t="shared" si="0"/>
        <v>2244</v>
      </c>
    </row>
    <row r="28" spans="2:9" ht="15.75" x14ac:dyDescent="0.25">
      <c r="B28" s="21" t="s">
        <v>3</v>
      </c>
      <c r="C28" s="20"/>
      <c r="D28" s="15"/>
      <c r="E28" s="20"/>
      <c r="F28" s="20"/>
      <c r="G28" s="19"/>
      <c r="H28" s="18">
        <v>800</v>
      </c>
      <c r="I28" s="17">
        <v>800</v>
      </c>
    </row>
    <row r="29" spans="2:9" ht="15.75" x14ac:dyDescent="0.25">
      <c r="B29" s="16" t="s">
        <v>2</v>
      </c>
      <c r="C29" s="15"/>
      <c r="D29" s="15"/>
      <c r="E29" s="15"/>
      <c r="F29" s="15"/>
      <c r="G29" s="14"/>
      <c r="H29" s="13">
        <v>250</v>
      </c>
      <c r="I29" s="12">
        <v>250</v>
      </c>
    </row>
    <row r="30" spans="2:9" ht="16.5" thickBot="1" x14ac:dyDescent="0.3">
      <c r="B30" s="11" t="s">
        <v>1</v>
      </c>
      <c r="C30" s="10"/>
      <c r="D30" s="10"/>
      <c r="E30" s="10"/>
      <c r="F30" s="10"/>
      <c r="G30" s="9"/>
      <c r="H30" s="8">
        <v>450</v>
      </c>
      <c r="I30" s="7">
        <v>450</v>
      </c>
    </row>
    <row r="31" spans="2:9" ht="15.75" thickBot="1" x14ac:dyDescent="0.3">
      <c r="B31" s="164" t="s">
        <v>0</v>
      </c>
      <c r="C31" s="165"/>
      <c r="D31" s="165"/>
      <c r="E31" s="165"/>
      <c r="F31" s="165"/>
      <c r="G31" s="165"/>
      <c r="H31" s="165"/>
      <c r="I31" s="166"/>
    </row>
    <row r="32" spans="2:9" ht="29.25" thickBot="1" x14ac:dyDescent="0.5">
      <c r="B32" s="146"/>
      <c r="C32" s="147"/>
      <c r="D32" s="147"/>
      <c r="E32" s="147"/>
      <c r="F32" s="148"/>
      <c r="G32" s="83">
        <f>SUM(G16:G27)</f>
        <v>319000</v>
      </c>
      <c r="H32" s="82"/>
      <c r="I32" s="81">
        <f>SUM(I16:I30)</f>
        <v>53078.420000000006</v>
      </c>
    </row>
    <row r="34" spans="4:9" x14ac:dyDescent="0.2">
      <c r="D34" s="3"/>
      <c r="I34" s="3"/>
    </row>
    <row r="38" spans="4:9" x14ac:dyDescent="0.2">
      <c r="D38" s="2"/>
    </row>
  </sheetData>
  <mergeCells count="7">
    <mergeCell ref="B32:F32"/>
    <mergeCell ref="A1:I1"/>
    <mergeCell ref="A2:B3"/>
    <mergeCell ref="C2:G3"/>
    <mergeCell ref="B13:C13"/>
    <mergeCell ref="H13:I13"/>
    <mergeCell ref="B31:I31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238B-D786-40C4-9AEF-B13B39A2B54A}">
  <sheetPr>
    <pageSetUpPr fitToPage="1"/>
  </sheetPr>
  <dimension ref="A1:J47"/>
  <sheetViews>
    <sheetView topLeftCell="A13" zoomScale="121" zoomScaleNormal="121" workbookViewId="0">
      <selection activeCell="C33" sqref="C33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184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183</v>
      </c>
      <c r="C13" s="162"/>
      <c r="D13" s="42"/>
      <c r="E13" s="41"/>
      <c r="F13" s="41"/>
      <c r="G13" s="41"/>
      <c r="H13" s="163" t="s">
        <v>185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32" t="s">
        <v>19</v>
      </c>
      <c r="C16" s="32" t="s">
        <v>18</v>
      </c>
      <c r="D16" s="66" t="s">
        <v>186</v>
      </c>
      <c r="E16" s="32">
        <v>48054</v>
      </c>
      <c r="F16" s="29">
        <v>1946990</v>
      </c>
      <c r="G16" s="80">
        <v>100000</v>
      </c>
      <c r="H16" s="74">
        <v>0.16830000000000001</v>
      </c>
      <c r="I16" s="64">
        <f>G16*H16</f>
        <v>16830</v>
      </c>
    </row>
    <row r="17" spans="2:9" ht="18" customHeight="1" x14ac:dyDescent="0.25">
      <c r="B17" s="32" t="s">
        <v>25</v>
      </c>
      <c r="C17" s="32" t="s">
        <v>24</v>
      </c>
      <c r="D17" s="66" t="s">
        <v>196</v>
      </c>
      <c r="E17" s="32">
        <v>48690</v>
      </c>
      <c r="F17" s="29">
        <v>1967125</v>
      </c>
      <c r="G17" s="80">
        <v>100000</v>
      </c>
      <c r="H17" s="74">
        <v>9.1200000000000003E-2</v>
      </c>
      <c r="I17" s="64">
        <f t="shared" ref="I17:I36" si="0">G17*H17</f>
        <v>9120</v>
      </c>
    </row>
    <row r="18" spans="2:9" ht="18" customHeight="1" x14ac:dyDescent="0.25">
      <c r="B18" s="32" t="s">
        <v>101</v>
      </c>
      <c r="C18" s="32" t="s">
        <v>114</v>
      </c>
      <c r="D18" s="66" t="s">
        <v>196</v>
      </c>
      <c r="E18" s="32">
        <v>48004</v>
      </c>
      <c r="F18" s="29">
        <v>1943537</v>
      </c>
      <c r="G18" s="80">
        <v>60000</v>
      </c>
      <c r="H18" s="74">
        <v>0.13800000000000001</v>
      </c>
      <c r="I18" s="64">
        <f t="shared" si="0"/>
        <v>8280</v>
      </c>
    </row>
    <row r="19" spans="2:9" ht="18" customHeight="1" x14ac:dyDescent="0.25">
      <c r="B19" s="32" t="s">
        <v>14</v>
      </c>
      <c r="C19" s="32" t="s">
        <v>13</v>
      </c>
      <c r="D19" s="66" t="s">
        <v>186</v>
      </c>
      <c r="E19" s="32">
        <v>48798</v>
      </c>
      <c r="F19" s="29">
        <v>1971642</v>
      </c>
      <c r="G19" s="80">
        <v>24000</v>
      </c>
      <c r="H19" s="74">
        <v>0.17519999999999999</v>
      </c>
      <c r="I19" s="64">
        <f t="shared" si="0"/>
        <v>4204.8</v>
      </c>
    </row>
    <row r="20" spans="2:9" ht="18" customHeight="1" x14ac:dyDescent="0.25">
      <c r="B20" s="32" t="s">
        <v>97</v>
      </c>
      <c r="C20" s="32" t="s">
        <v>110</v>
      </c>
      <c r="D20" s="66" t="s">
        <v>186</v>
      </c>
      <c r="E20" s="32">
        <v>48380</v>
      </c>
      <c r="F20" s="29">
        <v>1958413</v>
      </c>
      <c r="G20" s="80">
        <v>20000</v>
      </c>
      <c r="H20" s="74">
        <v>0.15190000000000001</v>
      </c>
      <c r="I20" s="64">
        <f t="shared" si="0"/>
        <v>3038</v>
      </c>
    </row>
    <row r="21" spans="2:9" ht="18" customHeight="1" x14ac:dyDescent="0.25">
      <c r="B21" s="32" t="s">
        <v>62</v>
      </c>
      <c r="C21" s="32" t="s">
        <v>74</v>
      </c>
      <c r="D21" s="66" t="s">
        <v>186</v>
      </c>
      <c r="E21" s="32">
        <v>47993</v>
      </c>
      <c r="F21" s="29">
        <v>1943262</v>
      </c>
      <c r="G21" s="80">
        <v>20000</v>
      </c>
      <c r="H21" s="74">
        <v>0.16009999999999999</v>
      </c>
      <c r="I21" s="64">
        <f t="shared" si="0"/>
        <v>3202</v>
      </c>
    </row>
    <row r="22" spans="2:9" ht="18" customHeight="1" x14ac:dyDescent="0.25">
      <c r="B22" s="32" t="s">
        <v>143</v>
      </c>
      <c r="C22" s="32" t="s">
        <v>145</v>
      </c>
      <c r="D22" s="66" t="s">
        <v>186</v>
      </c>
      <c r="E22" s="32">
        <v>48257</v>
      </c>
      <c r="F22" s="29">
        <v>1952783</v>
      </c>
      <c r="G22" s="80">
        <v>20000</v>
      </c>
      <c r="H22" s="74">
        <v>0.15679999999999999</v>
      </c>
      <c r="I22" s="64">
        <f t="shared" si="0"/>
        <v>3136</v>
      </c>
    </row>
    <row r="23" spans="2:9" ht="18" customHeight="1" x14ac:dyDescent="0.25">
      <c r="B23" s="32" t="s">
        <v>187</v>
      </c>
      <c r="C23" s="32" t="s">
        <v>197</v>
      </c>
      <c r="D23" s="66" t="s">
        <v>186</v>
      </c>
      <c r="E23" s="32">
        <v>48388</v>
      </c>
      <c r="F23" s="29">
        <v>1958499</v>
      </c>
      <c r="G23" s="80">
        <v>11000</v>
      </c>
      <c r="H23" s="74">
        <v>0.2014</v>
      </c>
      <c r="I23" s="64">
        <f t="shared" si="0"/>
        <v>2215.4</v>
      </c>
    </row>
    <row r="24" spans="2:9" ht="18" customHeight="1" x14ac:dyDescent="0.25">
      <c r="B24" s="32" t="s">
        <v>173</v>
      </c>
      <c r="C24" s="32" t="s">
        <v>178</v>
      </c>
      <c r="D24" s="66" t="s">
        <v>186</v>
      </c>
      <c r="E24" s="32">
        <v>48632</v>
      </c>
      <c r="F24" s="29">
        <v>1966165</v>
      </c>
      <c r="G24" s="80">
        <v>10000</v>
      </c>
      <c r="H24" s="74">
        <v>0.1699</v>
      </c>
      <c r="I24" s="64">
        <f t="shared" si="0"/>
        <v>1699</v>
      </c>
    </row>
    <row r="25" spans="2:9" ht="18" customHeight="1" x14ac:dyDescent="0.25">
      <c r="B25" s="27" t="s">
        <v>188</v>
      </c>
      <c r="C25" s="32" t="s">
        <v>198</v>
      </c>
      <c r="D25" s="66" t="s">
        <v>186</v>
      </c>
      <c r="E25" s="32">
        <v>48541</v>
      </c>
      <c r="F25" s="29">
        <v>1962421</v>
      </c>
      <c r="G25" s="71">
        <v>10000</v>
      </c>
      <c r="H25" s="74">
        <v>0.1583</v>
      </c>
      <c r="I25" s="64">
        <f t="shared" si="0"/>
        <v>1583</v>
      </c>
    </row>
    <row r="26" spans="2:9" ht="18" customHeight="1" x14ac:dyDescent="0.25">
      <c r="B26" s="27" t="s">
        <v>189</v>
      </c>
      <c r="C26" s="32" t="s">
        <v>205</v>
      </c>
      <c r="D26" s="66" t="s">
        <v>186</v>
      </c>
      <c r="E26" s="32">
        <v>48629</v>
      </c>
      <c r="F26" s="29">
        <v>1966131</v>
      </c>
      <c r="G26" s="71">
        <v>10000</v>
      </c>
      <c r="H26" s="74">
        <v>0.14269999999999999</v>
      </c>
      <c r="I26" s="64">
        <f t="shared" si="0"/>
        <v>1427</v>
      </c>
    </row>
    <row r="27" spans="2:9" ht="18" customHeight="1" x14ac:dyDescent="0.25">
      <c r="B27" s="27" t="s">
        <v>187</v>
      </c>
      <c r="C27" s="32" t="s">
        <v>197</v>
      </c>
      <c r="D27" s="66" t="s">
        <v>186</v>
      </c>
      <c r="E27" s="32">
        <v>48387</v>
      </c>
      <c r="F27" s="29">
        <v>1958481</v>
      </c>
      <c r="G27" s="71">
        <v>8200</v>
      </c>
      <c r="H27" s="74">
        <v>0.2014</v>
      </c>
      <c r="I27" s="64">
        <f t="shared" si="0"/>
        <v>1651.48</v>
      </c>
    </row>
    <row r="28" spans="2:9" ht="18" customHeight="1" x14ac:dyDescent="0.25">
      <c r="B28" s="27" t="s">
        <v>62</v>
      </c>
      <c r="C28" s="32" t="s">
        <v>74</v>
      </c>
      <c r="D28" s="66" t="s">
        <v>186</v>
      </c>
      <c r="E28" s="32">
        <v>47597</v>
      </c>
      <c r="F28" s="29">
        <v>1927756</v>
      </c>
      <c r="G28" s="71">
        <v>4000</v>
      </c>
      <c r="H28" s="74">
        <v>0.16009999999999999</v>
      </c>
      <c r="I28" s="64">
        <f t="shared" si="0"/>
        <v>640.4</v>
      </c>
    </row>
    <row r="29" spans="2:9" ht="18" customHeight="1" x14ac:dyDescent="0.25">
      <c r="B29" s="27" t="s">
        <v>190</v>
      </c>
      <c r="C29" s="32" t="s">
        <v>204</v>
      </c>
      <c r="D29" s="66" t="s">
        <v>186</v>
      </c>
      <c r="E29" s="32">
        <v>48654</v>
      </c>
      <c r="F29" s="29">
        <v>1966739</v>
      </c>
      <c r="G29" s="71">
        <v>1200</v>
      </c>
      <c r="H29" s="74">
        <v>0.191</v>
      </c>
      <c r="I29" s="64">
        <f t="shared" si="0"/>
        <v>229.20000000000002</v>
      </c>
    </row>
    <row r="30" spans="2:9" ht="18" customHeight="1" x14ac:dyDescent="0.25">
      <c r="B30" s="27" t="s">
        <v>191</v>
      </c>
      <c r="C30" s="32" t="s">
        <v>203</v>
      </c>
      <c r="D30" s="66" t="s">
        <v>186</v>
      </c>
      <c r="E30" s="32">
        <v>48674</v>
      </c>
      <c r="F30" s="29">
        <v>1966958</v>
      </c>
      <c r="G30" s="71">
        <v>1000</v>
      </c>
      <c r="H30" s="74">
        <v>0.22589999999999999</v>
      </c>
      <c r="I30" s="64">
        <f t="shared" si="0"/>
        <v>225.89999999999998</v>
      </c>
    </row>
    <row r="31" spans="2:9" ht="18" customHeight="1" x14ac:dyDescent="0.25">
      <c r="B31" s="27" t="s">
        <v>192</v>
      </c>
      <c r="C31" s="32" t="s">
        <v>202</v>
      </c>
      <c r="D31" s="66" t="s">
        <v>186</v>
      </c>
      <c r="E31" s="32">
        <v>48686</v>
      </c>
      <c r="F31" s="29">
        <v>1967088</v>
      </c>
      <c r="G31" s="71">
        <v>1000</v>
      </c>
      <c r="H31" s="74">
        <v>0.24590000000000001</v>
      </c>
      <c r="I31" s="64">
        <f t="shared" si="0"/>
        <v>245.9</v>
      </c>
    </row>
    <row r="32" spans="2:9" ht="18" customHeight="1" x14ac:dyDescent="0.25">
      <c r="B32" s="27" t="s">
        <v>194</v>
      </c>
      <c r="C32" s="32" t="s">
        <v>200</v>
      </c>
      <c r="D32" s="66" t="s">
        <v>186</v>
      </c>
      <c r="E32" s="32">
        <v>48613</v>
      </c>
      <c r="F32" s="29">
        <v>1965007</v>
      </c>
      <c r="G32" s="71">
        <v>1000</v>
      </c>
      <c r="H32" s="74">
        <v>0.24679999999999999</v>
      </c>
      <c r="I32" s="64">
        <f t="shared" si="0"/>
        <v>246.79999999999998</v>
      </c>
    </row>
    <row r="33" spans="2:9" ht="18" customHeight="1" x14ac:dyDescent="0.25">
      <c r="B33" s="27" t="s">
        <v>194</v>
      </c>
      <c r="C33" s="32" t="s">
        <v>200</v>
      </c>
      <c r="D33" s="66" t="s">
        <v>186</v>
      </c>
      <c r="E33" s="32">
        <v>48649</v>
      </c>
      <c r="F33" s="29">
        <v>1966587</v>
      </c>
      <c r="G33" s="71">
        <v>1000</v>
      </c>
      <c r="H33" s="74">
        <v>0.24679999999999999</v>
      </c>
      <c r="I33" s="64">
        <f t="shared" si="0"/>
        <v>246.79999999999998</v>
      </c>
    </row>
    <row r="34" spans="2:9" ht="18" customHeight="1" x14ac:dyDescent="0.25">
      <c r="B34" s="27" t="s">
        <v>195</v>
      </c>
      <c r="C34" s="32" t="s">
        <v>199</v>
      </c>
      <c r="D34" s="66" t="s">
        <v>186</v>
      </c>
      <c r="E34" s="32">
        <v>48663</v>
      </c>
      <c r="F34" s="29">
        <v>1966843</v>
      </c>
      <c r="G34" s="71">
        <v>1000</v>
      </c>
      <c r="H34" s="74">
        <v>0.23680000000000001</v>
      </c>
      <c r="I34" s="64">
        <f t="shared" si="0"/>
        <v>236.8</v>
      </c>
    </row>
    <row r="35" spans="2:9" ht="18" customHeight="1" x14ac:dyDescent="0.25">
      <c r="B35" s="27" t="s">
        <v>67</v>
      </c>
      <c r="C35" s="27" t="s">
        <v>79</v>
      </c>
      <c r="D35" s="67" t="s">
        <v>186</v>
      </c>
      <c r="E35" s="27">
        <v>48559</v>
      </c>
      <c r="F35" s="13">
        <v>1963028</v>
      </c>
      <c r="G35" s="71">
        <v>1000</v>
      </c>
      <c r="H35" s="75">
        <v>0.21279999999999999</v>
      </c>
      <c r="I35" s="64">
        <f t="shared" si="0"/>
        <v>212.79999999999998</v>
      </c>
    </row>
    <row r="36" spans="2:9" ht="19.5" customHeight="1" thickBot="1" x14ac:dyDescent="0.3">
      <c r="B36" s="62" t="s">
        <v>193</v>
      </c>
      <c r="C36" s="62" t="s">
        <v>201</v>
      </c>
      <c r="D36" s="68" t="s">
        <v>186</v>
      </c>
      <c r="E36" s="62">
        <v>48648</v>
      </c>
      <c r="F36" s="68">
        <v>1966579</v>
      </c>
      <c r="G36" s="72">
        <v>1000</v>
      </c>
      <c r="H36" s="76">
        <v>0.107</v>
      </c>
      <c r="I36" s="64">
        <f t="shared" si="0"/>
        <v>107</v>
      </c>
    </row>
    <row r="37" spans="2:9" ht="15.75" x14ac:dyDescent="0.25">
      <c r="B37" s="21" t="s">
        <v>3</v>
      </c>
      <c r="C37" s="20"/>
      <c r="D37" s="15"/>
      <c r="E37" s="20"/>
      <c r="F37" s="20"/>
      <c r="G37" s="19"/>
      <c r="H37" s="18">
        <v>800</v>
      </c>
      <c r="I37" s="17">
        <v>800</v>
      </c>
    </row>
    <row r="38" spans="2:9" ht="15.75" x14ac:dyDescent="0.25">
      <c r="B38" s="16" t="s">
        <v>2</v>
      </c>
      <c r="C38" s="15"/>
      <c r="D38" s="15"/>
      <c r="E38" s="15"/>
      <c r="F38" s="15"/>
      <c r="G38" s="14"/>
      <c r="H38" s="13">
        <v>250</v>
      </c>
      <c r="I38" s="12">
        <v>250</v>
      </c>
    </row>
    <row r="39" spans="2:9" ht="16.5" thickBot="1" x14ac:dyDescent="0.3">
      <c r="B39" s="11" t="s">
        <v>1</v>
      </c>
      <c r="C39" s="10"/>
      <c r="D39" s="10"/>
      <c r="E39" s="10"/>
      <c r="F39" s="10"/>
      <c r="G39" s="9"/>
      <c r="H39" s="8">
        <v>450</v>
      </c>
      <c r="I39" s="7">
        <v>450</v>
      </c>
    </row>
    <row r="40" spans="2:9" ht="15.75" thickBot="1" x14ac:dyDescent="0.3">
      <c r="B40" s="164" t="s">
        <v>0</v>
      </c>
      <c r="C40" s="165"/>
      <c r="D40" s="165"/>
      <c r="E40" s="165"/>
      <c r="F40" s="165"/>
      <c r="G40" s="165"/>
      <c r="H40" s="165"/>
      <c r="I40" s="166"/>
    </row>
    <row r="41" spans="2:9" ht="29.25" thickBot="1" x14ac:dyDescent="0.5">
      <c r="B41" s="146"/>
      <c r="C41" s="147"/>
      <c r="D41" s="147"/>
      <c r="E41" s="147"/>
      <c r="F41" s="148"/>
      <c r="G41" s="83">
        <f>SUM(G16:G36)</f>
        <v>405400</v>
      </c>
      <c r="H41" s="82"/>
      <c r="I41" s="81">
        <f>SUM(I16:I39)</f>
        <v>60278.280000000021</v>
      </c>
    </row>
    <row r="43" spans="2:9" x14ac:dyDescent="0.2">
      <c r="D43" s="3"/>
      <c r="I43" s="3"/>
    </row>
    <row r="47" spans="2:9" x14ac:dyDescent="0.2">
      <c r="D47" s="2"/>
    </row>
  </sheetData>
  <mergeCells count="7">
    <mergeCell ref="B41:F41"/>
    <mergeCell ref="A1:I1"/>
    <mergeCell ref="A2:B3"/>
    <mergeCell ref="C2:G3"/>
    <mergeCell ref="B13:C13"/>
    <mergeCell ref="H13:I13"/>
    <mergeCell ref="B40:I40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D8F8-3C70-4192-959E-257DBD780F87}">
  <sheetPr>
    <pageSetUpPr fitToPage="1"/>
  </sheetPr>
  <dimension ref="A1:J43"/>
  <sheetViews>
    <sheetView topLeftCell="A25" zoomScale="121" zoomScaleNormal="121" workbookViewId="0">
      <selection activeCell="B25" sqref="B25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172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170</v>
      </c>
      <c r="C13" s="162"/>
      <c r="D13" s="42"/>
      <c r="E13" s="41"/>
      <c r="F13" s="41"/>
      <c r="G13" s="41"/>
      <c r="H13" s="163" t="s">
        <v>171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32" t="s">
        <v>19</v>
      </c>
      <c r="C16" s="32" t="s">
        <v>18</v>
      </c>
      <c r="D16" s="66" t="s">
        <v>180</v>
      </c>
      <c r="E16" s="32">
        <v>47976</v>
      </c>
      <c r="F16" s="29">
        <v>1942585</v>
      </c>
      <c r="G16" s="80">
        <v>100000</v>
      </c>
      <c r="H16" s="74">
        <v>0.16830000000000001</v>
      </c>
      <c r="I16" s="64">
        <f>G16*H16</f>
        <v>16830</v>
      </c>
    </row>
    <row r="17" spans="2:9" ht="18" customHeight="1" x14ac:dyDescent="0.25">
      <c r="B17" s="32" t="s">
        <v>25</v>
      </c>
      <c r="C17" s="32" t="s">
        <v>24</v>
      </c>
      <c r="D17" s="66" t="s">
        <v>181</v>
      </c>
      <c r="E17" s="32">
        <v>48688</v>
      </c>
      <c r="F17" s="29">
        <v>1967109</v>
      </c>
      <c r="G17" s="80">
        <v>100000</v>
      </c>
      <c r="H17" s="74">
        <v>9.1200000000000003E-2</v>
      </c>
      <c r="I17" s="64">
        <f t="shared" ref="I17:I32" si="0">G17*H17</f>
        <v>9120</v>
      </c>
    </row>
    <row r="18" spans="2:9" ht="18" customHeight="1" x14ac:dyDescent="0.25">
      <c r="B18" s="32" t="s">
        <v>101</v>
      </c>
      <c r="C18" s="32" t="s">
        <v>114</v>
      </c>
      <c r="D18" s="66" t="s">
        <v>181</v>
      </c>
      <c r="E18" s="32">
        <v>47705</v>
      </c>
      <c r="F18" s="29">
        <v>1932344</v>
      </c>
      <c r="G18" s="80">
        <v>46000</v>
      </c>
      <c r="H18" s="74">
        <v>0.13800000000000001</v>
      </c>
      <c r="I18" s="64">
        <f t="shared" ref="I18:I23" si="1">G18*H18</f>
        <v>6348.0000000000009</v>
      </c>
    </row>
    <row r="19" spans="2:9" ht="18" customHeight="1" x14ac:dyDescent="0.25">
      <c r="B19" s="32" t="s">
        <v>14</v>
      </c>
      <c r="C19" s="32" t="s">
        <v>13</v>
      </c>
      <c r="D19" s="66" t="s">
        <v>180</v>
      </c>
      <c r="E19" s="32">
        <v>48797</v>
      </c>
      <c r="F19" s="29">
        <v>1971634</v>
      </c>
      <c r="G19" s="80">
        <v>36000</v>
      </c>
      <c r="H19" s="74">
        <v>0.17519999999999999</v>
      </c>
      <c r="I19" s="64">
        <f t="shared" si="1"/>
        <v>6307.2</v>
      </c>
    </row>
    <row r="20" spans="2:9" ht="18" customHeight="1" x14ac:dyDescent="0.25">
      <c r="B20" s="32" t="s">
        <v>17</v>
      </c>
      <c r="C20" s="32" t="s">
        <v>16</v>
      </c>
      <c r="D20" s="66" t="s">
        <v>181</v>
      </c>
      <c r="E20" s="32">
        <v>48569</v>
      </c>
      <c r="F20" s="29">
        <v>1963183</v>
      </c>
      <c r="G20" s="80">
        <v>32900</v>
      </c>
      <c r="H20" s="74">
        <v>0.16059999999999999</v>
      </c>
      <c r="I20" s="64">
        <f t="shared" si="1"/>
        <v>5283.74</v>
      </c>
    </row>
    <row r="21" spans="2:9" ht="18" customHeight="1" x14ac:dyDescent="0.25">
      <c r="B21" s="32" t="s">
        <v>122</v>
      </c>
      <c r="C21" s="32" t="s">
        <v>135</v>
      </c>
      <c r="D21" s="66" t="s">
        <v>180</v>
      </c>
      <c r="E21" s="32">
        <v>48556</v>
      </c>
      <c r="F21" s="29">
        <v>1962990</v>
      </c>
      <c r="G21" s="80">
        <v>20000</v>
      </c>
      <c r="H21" s="74">
        <v>0.2298</v>
      </c>
      <c r="I21" s="64">
        <f t="shared" si="1"/>
        <v>4596</v>
      </c>
    </row>
    <row r="22" spans="2:9" ht="18" customHeight="1" x14ac:dyDescent="0.25">
      <c r="B22" s="32" t="s">
        <v>101</v>
      </c>
      <c r="C22" s="32" t="s">
        <v>114</v>
      </c>
      <c r="D22" s="66" t="s">
        <v>181</v>
      </c>
      <c r="E22" s="32">
        <v>48004</v>
      </c>
      <c r="F22" s="29">
        <v>1943537</v>
      </c>
      <c r="G22" s="80">
        <v>16400</v>
      </c>
      <c r="H22" s="74">
        <v>0.13800000000000001</v>
      </c>
      <c r="I22" s="64">
        <f t="shared" si="1"/>
        <v>2263.2000000000003</v>
      </c>
    </row>
    <row r="23" spans="2:9" ht="18" customHeight="1" x14ac:dyDescent="0.25">
      <c r="B23" s="32" t="s">
        <v>62</v>
      </c>
      <c r="C23" s="32" t="s">
        <v>74</v>
      </c>
      <c r="D23" s="66" t="s">
        <v>180</v>
      </c>
      <c r="E23" s="32">
        <v>47597</v>
      </c>
      <c r="F23" s="29">
        <v>1927756</v>
      </c>
      <c r="G23" s="80">
        <v>16000</v>
      </c>
      <c r="H23" s="74">
        <v>0.16009999999999999</v>
      </c>
      <c r="I23" s="64">
        <f t="shared" si="1"/>
        <v>2561.6</v>
      </c>
    </row>
    <row r="24" spans="2:9" ht="18" customHeight="1" x14ac:dyDescent="0.25">
      <c r="B24" s="27" t="s">
        <v>14</v>
      </c>
      <c r="C24" s="32" t="s">
        <v>13</v>
      </c>
      <c r="D24" s="66" t="s">
        <v>180</v>
      </c>
      <c r="E24" s="32">
        <v>48404</v>
      </c>
      <c r="F24" s="29">
        <v>1958801</v>
      </c>
      <c r="G24" s="71">
        <v>14000</v>
      </c>
      <c r="H24" s="74">
        <v>0.17519999999999999</v>
      </c>
      <c r="I24" s="64">
        <f t="shared" si="0"/>
        <v>2452.7999999999997</v>
      </c>
    </row>
    <row r="25" spans="2:9" ht="18" customHeight="1" x14ac:dyDescent="0.25">
      <c r="B25" s="27" t="s">
        <v>63</v>
      </c>
      <c r="C25" s="32" t="s">
        <v>75</v>
      </c>
      <c r="D25" s="66" t="s">
        <v>180</v>
      </c>
      <c r="E25" s="32">
        <v>48554</v>
      </c>
      <c r="F25" s="29">
        <v>1962914</v>
      </c>
      <c r="G25" s="71">
        <v>11000</v>
      </c>
      <c r="H25" s="74">
        <v>0.20119999999999999</v>
      </c>
      <c r="I25" s="64">
        <f t="shared" si="0"/>
        <v>2213.1999999999998</v>
      </c>
    </row>
    <row r="26" spans="2:9" ht="18" customHeight="1" x14ac:dyDescent="0.25">
      <c r="B26" s="27" t="s">
        <v>14</v>
      </c>
      <c r="C26" s="32" t="s">
        <v>13</v>
      </c>
      <c r="D26" s="66" t="s">
        <v>180</v>
      </c>
      <c r="E26" s="32">
        <v>48812</v>
      </c>
      <c r="F26" s="29">
        <v>1972101</v>
      </c>
      <c r="G26" s="71">
        <v>10000</v>
      </c>
      <c r="H26" s="74">
        <v>0.17519999999999999</v>
      </c>
      <c r="I26" s="64">
        <f t="shared" si="0"/>
        <v>1752</v>
      </c>
    </row>
    <row r="27" spans="2:9" ht="18" customHeight="1" x14ac:dyDescent="0.25">
      <c r="B27" s="27" t="s">
        <v>173</v>
      </c>
      <c r="C27" s="32" t="s">
        <v>178</v>
      </c>
      <c r="D27" s="66" t="s">
        <v>180</v>
      </c>
      <c r="E27" s="32">
        <v>48631</v>
      </c>
      <c r="F27" s="29">
        <v>1966157</v>
      </c>
      <c r="G27" s="71">
        <v>10000</v>
      </c>
      <c r="H27" s="74">
        <v>0.1699</v>
      </c>
      <c r="I27" s="64">
        <f t="shared" si="0"/>
        <v>1699</v>
      </c>
    </row>
    <row r="28" spans="2:9" ht="18" customHeight="1" x14ac:dyDescent="0.25">
      <c r="B28" s="27" t="s">
        <v>174</v>
      </c>
      <c r="C28" s="32" t="s">
        <v>179</v>
      </c>
      <c r="D28" s="66" t="s">
        <v>180</v>
      </c>
      <c r="E28" s="32">
        <v>48668</v>
      </c>
      <c r="F28" s="29">
        <v>1966894</v>
      </c>
      <c r="G28" s="71">
        <v>5300</v>
      </c>
      <c r="H28" s="74">
        <v>0.21110000000000001</v>
      </c>
      <c r="I28" s="64">
        <f t="shared" si="0"/>
        <v>1118.8300000000002</v>
      </c>
    </row>
    <row r="29" spans="2:9" ht="18" customHeight="1" x14ac:dyDescent="0.25">
      <c r="B29" s="27" t="s">
        <v>173</v>
      </c>
      <c r="C29" s="32" t="s">
        <v>178</v>
      </c>
      <c r="D29" s="66" t="s">
        <v>180</v>
      </c>
      <c r="E29" s="32">
        <v>48633</v>
      </c>
      <c r="F29" s="29">
        <v>1966173</v>
      </c>
      <c r="G29" s="71">
        <v>4000</v>
      </c>
      <c r="H29" s="74">
        <v>0.1699</v>
      </c>
      <c r="I29" s="64">
        <f t="shared" si="0"/>
        <v>679.6</v>
      </c>
    </row>
    <row r="30" spans="2:9" ht="18" customHeight="1" x14ac:dyDescent="0.25">
      <c r="B30" s="27" t="s">
        <v>62</v>
      </c>
      <c r="C30" s="32" t="s">
        <v>74</v>
      </c>
      <c r="D30" s="66" t="s">
        <v>180</v>
      </c>
      <c r="E30" s="32">
        <v>47228</v>
      </c>
      <c r="F30" s="29">
        <v>1915675</v>
      </c>
      <c r="G30" s="71">
        <v>1200</v>
      </c>
      <c r="H30" s="74">
        <v>0.16009999999999999</v>
      </c>
      <c r="I30" s="64">
        <f t="shared" si="0"/>
        <v>192.12</v>
      </c>
    </row>
    <row r="31" spans="2:9" ht="18" customHeight="1" x14ac:dyDescent="0.25">
      <c r="B31" s="27" t="s">
        <v>175</v>
      </c>
      <c r="C31" s="32" t="s">
        <v>182</v>
      </c>
      <c r="D31" s="66" t="s">
        <v>180</v>
      </c>
      <c r="E31" s="32">
        <v>48724</v>
      </c>
      <c r="F31" s="29">
        <v>1968478</v>
      </c>
      <c r="G31" s="71">
        <v>1000</v>
      </c>
      <c r="H31" s="74">
        <v>0.21529999999999999</v>
      </c>
      <c r="I31" s="64">
        <f t="shared" si="0"/>
        <v>215.29999999999998</v>
      </c>
    </row>
    <row r="32" spans="2:9" ht="19.5" customHeight="1" thickBot="1" x14ac:dyDescent="0.3">
      <c r="B32" s="62" t="s">
        <v>176</v>
      </c>
      <c r="C32" s="62" t="s">
        <v>177</v>
      </c>
      <c r="D32" s="68" t="s">
        <v>180</v>
      </c>
      <c r="E32" s="62">
        <v>48647</v>
      </c>
      <c r="F32" s="68">
        <v>1966561</v>
      </c>
      <c r="G32" s="72">
        <v>1000</v>
      </c>
      <c r="H32" s="76">
        <v>0.51290000000000002</v>
      </c>
      <c r="I32" s="64">
        <f t="shared" si="0"/>
        <v>512.9</v>
      </c>
    </row>
    <row r="33" spans="2:9" ht="15.75" x14ac:dyDescent="0.25">
      <c r="B33" s="21" t="s">
        <v>3</v>
      </c>
      <c r="C33" s="20"/>
      <c r="D33" s="15"/>
      <c r="E33" s="20"/>
      <c r="F33" s="20"/>
      <c r="G33" s="19"/>
      <c r="H33" s="18">
        <v>800</v>
      </c>
      <c r="I33" s="17">
        <v>800</v>
      </c>
    </row>
    <row r="34" spans="2:9" ht="15.75" x14ac:dyDescent="0.25">
      <c r="B34" s="16" t="s">
        <v>2</v>
      </c>
      <c r="C34" s="15"/>
      <c r="D34" s="15"/>
      <c r="E34" s="15"/>
      <c r="F34" s="15"/>
      <c r="G34" s="14"/>
      <c r="H34" s="13">
        <v>250</v>
      </c>
      <c r="I34" s="12">
        <v>250</v>
      </c>
    </row>
    <row r="35" spans="2:9" ht="16.5" thickBot="1" x14ac:dyDescent="0.3">
      <c r="B35" s="11" t="s">
        <v>1</v>
      </c>
      <c r="C35" s="10"/>
      <c r="D35" s="10"/>
      <c r="E35" s="10"/>
      <c r="F35" s="10"/>
      <c r="G35" s="9"/>
      <c r="H35" s="8">
        <v>450</v>
      </c>
      <c r="I35" s="7">
        <v>450</v>
      </c>
    </row>
    <row r="36" spans="2:9" ht="15.75" thickBot="1" x14ac:dyDescent="0.3">
      <c r="B36" s="164" t="s">
        <v>0</v>
      </c>
      <c r="C36" s="165"/>
      <c r="D36" s="165"/>
      <c r="E36" s="165"/>
      <c r="F36" s="165"/>
      <c r="G36" s="165"/>
      <c r="H36" s="165"/>
      <c r="I36" s="166"/>
    </row>
    <row r="37" spans="2:9" ht="29.25" thickBot="1" x14ac:dyDescent="0.5">
      <c r="B37" s="146"/>
      <c r="C37" s="147"/>
      <c r="D37" s="147"/>
      <c r="E37" s="147"/>
      <c r="F37" s="148"/>
      <c r="G37" s="83">
        <f>SUM(G16:G32)</f>
        <v>424800</v>
      </c>
      <c r="H37" s="82"/>
      <c r="I37" s="81">
        <f>SUM(I16:I35)</f>
        <v>65645.489999999991</v>
      </c>
    </row>
    <row r="39" spans="2:9" x14ac:dyDescent="0.2">
      <c r="D39" s="3"/>
      <c r="I39" s="3"/>
    </row>
    <row r="43" spans="2:9" x14ac:dyDescent="0.2">
      <c r="D43" s="2"/>
    </row>
  </sheetData>
  <mergeCells count="7">
    <mergeCell ref="B37:F37"/>
    <mergeCell ref="A1:I1"/>
    <mergeCell ref="A2:B3"/>
    <mergeCell ref="C2:G3"/>
    <mergeCell ref="B13:C13"/>
    <mergeCell ref="H13:I13"/>
    <mergeCell ref="B36:I36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290E-0A0F-42D0-BD65-DEBE47674ED6}">
  <sheetPr>
    <pageSetUpPr fitToPage="1"/>
  </sheetPr>
  <dimension ref="A1:J38"/>
  <sheetViews>
    <sheetView topLeftCell="A19" zoomScale="121" zoomScaleNormal="121" workbookViewId="0">
      <selection activeCell="D12" sqref="D12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163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161</v>
      </c>
      <c r="C13" s="162"/>
      <c r="D13" s="42"/>
      <c r="E13" s="41"/>
      <c r="F13" s="41"/>
      <c r="G13" s="41"/>
      <c r="H13" s="163" t="s">
        <v>162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32" t="s">
        <v>19</v>
      </c>
      <c r="C16" s="32" t="s">
        <v>18</v>
      </c>
      <c r="D16" s="66" t="s">
        <v>165</v>
      </c>
      <c r="E16" s="32">
        <v>47998</v>
      </c>
      <c r="F16" s="29">
        <v>1943318</v>
      </c>
      <c r="G16" s="80">
        <v>100000</v>
      </c>
      <c r="H16" s="74">
        <v>0.16830000000000001</v>
      </c>
      <c r="I16" s="64">
        <f>G16*H16</f>
        <v>16830</v>
      </c>
    </row>
    <row r="17" spans="2:9" ht="18" customHeight="1" x14ac:dyDescent="0.25">
      <c r="B17" s="32" t="s">
        <v>25</v>
      </c>
      <c r="C17" s="32" t="s">
        <v>24</v>
      </c>
      <c r="D17" s="66" t="s">
        <v>164</v>
      </c>
      <c r="E17" s="32">
        <v>48564</v>
      </c>
      <c r="F17" s="29">
        <v>1963087</v>
      </c>
      <c r="G17" s="80">
        <v>100000</v>
      </c>
      <c r="H17" s="74">
        <v>9.1200000000000003E-2</v>
      </c>
      <c r="I17" s="64">
        <f t="shared" ref="I17:I27" si="0">G17*H17</f>
        <v>9120</v>
      </c>
    </row>
    <row r="18" spans="2:9" ht="18" customHeight="1" x14ac:dyDescent="0.25">
      <c r="B18" s="27" t="s">
        <v>17</v>
      </c>
      <c r="C18" s="32" t="s">
        <v>16</v>
      </c>
      <c r="D18" s="66" t="s">
        <v>164</v>
      </c>
      <c r="E18" s="32">
        <v>48569</v>
      </c>
      <c r="F18" s="29">
        <v>1963183</v>
      </c>
      <c r="G18" s="71">
        <v>60000</v>
      </c>
      <c r="H18" s="74">
        <v>0.16059999999999999</v>
      </c>
      <c r="I18" s="64">
        <f t="shared" si="0"/>
        <v>9636</v>
      </c>
    </row>
    <row r="19" spans="2:9" ht="18" customHeight="1" x14ac:dyDescent="0.25">
      <c r="B19" s="27" t="s">
        <v>101</v>
      </c>
      <c r="C19" s="32" t="s">
        <v>114</v>
      </c>
      <c r="D19" s="66" t="s">
        <v>164</v>
      </c>
      <c r="E19" s="32">
        <v>47705</v>
      </c>
      <c r="F19" s="29">
        <v>1932344</v>
      </c>
      <c r="G19" s="71">
        <v>54000</v>
      </c>
      <c r="H19" s="74">
        <v>0.13800000000000001</v>
      </c>
      <c r="I19" s="64">
        <f t="shared" si="0"/>
        <v>7452.0000000000009</v>
      </c>
    </row>
    <row r="20" spans="2:9" ht="18" customHeight="1" x14ac:dyDescent="0.25">
      <c r="B20" s="27" t="s">
        <v>14</v>
      </c>
      <c r="C20" s="32" t="s">
        <v>13</v>
      </c>
      <c r="D20" s="67" t="s">
        <v>165</v>
      </c>
      <c r="E20" s="32">
        <v>48404</v>
      </c>
      <c r="F20" s="29">
        <v>1958801</v>
      </c>
      <c r="G20" s="71">
        <v>24000</v>
      </c>
      <c r="H20" s="74">
        <v>0.17523</v>
      </c>
      <c r="I20" s="64">
        <f t="shared" si="0"/>
        <v>4205.5199999999995</v>
      </c>
    </row>
    <row r="21" spans="2:9" ht="18" customHeight="1" x14ac:dyDescent="0.25">
      <c r="B21" s="27" t="s">
        <v>97</v>
      </c>
      <c r="C21" s="32" t="s">
        <v>110</v>
      </c>
      <c r="D21" s="67" t="s">
        <v>165</v>
      </c>
      <c r="E21" s="32">
        <v>48378</v>
      </c>
      <c r="F21" s="29">
        <v>1958392</v>
      </c>
      <c r="G21" s="71">
        <v>20000</v>
      </c>
      <c r="H21" s="74">
        <v>0.15190000000000001</v>
      </c>
      <c r="I21" s="64">
        <f t="shared" si="0"/>
        <v>3038</v>
      </c>
    </row>
    <row r="22" spans="2:9" ht="18" customHeight="1" x14ac:dyDescent="0.25">
      <c r="B22" s="27" t="s">
        <v>12</v>
      </c>
      <c r="C22" s="32" t="s">
        <v>11</v>
      </c>
      <c r="D22" s="67" t="s">
        <v>165</v>
      </c>
      <c r="E22" s="32">
        <v>48385</v>
      </c>
      <c r="F22" s="29">
        <v>1958464</v>
      </c>
      <c r="G22" s="71">
        <v>16000</v>
      </c>
      <c r="H22" s="74">
        <v>0.21529999999999999</v>
      </c>
      <c r="I22" s="64">
        <f t="shared" si="0"/>
        <v>3444.7999999999997</v>
      </c>
    </row>
    <row r="23" spans="2:9" ht="18" customHeight="1" x14ac:dyDescent="0.25">
      <c r="B23" s="27" t="s">
        <v>143</v>
      </c>
      <c r="C23" s="32" t="s">
        <v>145</v>
      </c>
      <c r="D23" s="67" t="s">
        <v>165</v>
      </c>
      <c r="E23" s="32">
        <v>47899</v>
      </c>
      <c r="F23" s="29">
        <v>1939976</v>
      </c>
      <c r="G23" s="71">
        <v>15200</v>
      </c>
      <c r="H23" s="74">
        <v>0.15679999999999999</v>
      </c>
      <c r="I23" s="64">
        <f t="shared" si="0"/>
        <v>2383.36</v>
      </c>
    </row>
    <row r="24" spans="2:9" ht="18" customHeight="1" x14ac:dyDescent="0.25">
      <c r="B24" s="27" t="s">
        <v>61</v>
      </c>
      <c r="C24" s="32" t="s">
        <v>73</v>
      </c>
      <c r="D24" s="67" t="s">
        <v>165</v>
      </c>
      <c r="E24" s="32">
        <v>48176</v>
      </c>
      <c r="F24" s="29">
        <v>1950850</v>
      </c>
      <c r="G24" s="71">
        <v>13500</v>
      </c>
      <c r="H24" s="74">
        <v>0.2276</v>
      </c>
      <c r="I24" s="64">
        <f t="shared" si="0"/>
        <v>3072.6</v>
      </c>
    </row>
    <row r="25" spans="2:9" ht="18" customHeight="1" x14ac:dyDescent="0.25">
      <c r="B25" s="27" t="s">
        <v>169</v>
      </c>
      <c r="C25" s="32" t="s">
        <v>166</v>
      </c>
      <c r="D25" s="67" t="s">
        <v>165</v>
      </c>
      <c r="E25" s="32">
        <v>48242</v>
      </c>
      <c r="F25" s="29">
        <v>1952409</v>
      </c>
      <c r="G25" s="71">
        <v>12000</v>
      </c>
      <c r="H25" s="74">
        <v>0.16189999999999999</v>
      </c>
      <c r="I25" s="64">
        <f t="shared" si="0"/>
        <v>1942.8</v>
      </c>
    </row>
    <row r="26" spans="2:9" ht="18" customHeight="1" x14ac:dyDescent="0.25">
      <c r="B26" s="27" t="s">
        <v>168</v>
      </c>
      <c r="C26" s="27" t="s">
        <v>167</v>
      </c>
      <c r="D26" s="67" t="s">
        <v>165</v>
      </c>
      <c r="E26" s="27">
        <v>48587</v>
      </c>
      <c r="F26" s="13">
        <v>1963845</v>
      </c>
      <c r="G26" s="71">
        <v>1000</v>
      </c>
      <c r="H26" s="75">
        <v>0.1681</v>
      </c>
      <c r="I26" s="64">
        <f t="shared" si="0"/>
        <v>168.1</v>
      </c>
    </row>
    <row r="27" spans="2:9" ht="19.5" customHeight="1" thickBot="1" x14ac:dyDescent="0.3">
      <c r="B27" s="62" t="s">
        <v>12</v>
      </c>
      <c r="C27" s="62" t="s">
        <v>11</v>
      </c>
      <c r="D27" s="68" t="s">
        <v>165</v>
      </c>
      <c r="E27" s="62">
        <v>48384</v>
      </c>
      <c r="F27" s="68">
        <v>1958456</v>
      </c>
      <c r="G27" s="72">
        <v>600</v>
      </c>
      <c r="H27" s="76">
        <v>0.21529999999999999</v>
      </c>
      <c r="I27" s="64">
        <f t="shared" si="0"/>
        <v>129.18</v>
      </c>
    </row>
    <row r="28" spans="2:9" ht="15.75" x14ac:dyDescent="0.25">
      <c r="B28" s="21" t="s">
        <v>3</v>
      </c>
      <c r="C28" s="20"/>
      <c r="D28" s="15"/>
      <c r="E28" s="20"/>
      <c r="F28" s="20"/>
      <c r="G28" s="19"/>
      <c r="H28" s="18">
        <v>800</v>
      </c>
      <c r="I28" s="17">
        <v>800</v>
      </c>
    </row>
    <row r="29" spans="2:9" ht="15.75" x14ac:dyDescent="0.25">
      <c r="B29" s="16" t="s">
        <v>2</v>
      </c>
      <c r="C29" s="15"/>
      <c r="D29" s="15"/>
      <c r="E29" s="15"/>
      <c r="F29" s="15"/>
      <c r="G29" s="14"/>
      <c r="H29" s="13">
        <v>250</v>
      </c>
      <c r="I29" s="12">
        <v>250</v>
      </c>
    </row>
    <row r="30" spans="2:9" ht="16.5" thickBot="1" x14ac:dyDescent="0.3">
      <c r="B30" s="11" t="s">
        <v>1</v>
      </c>
      <c r="C30" s="10"/>
      <c r="D30" s="10"/>
      <c r="E30" s="10"/>
      <c r="F30" s="10"/>
      <c r="G30" s="9"/>
      <c r="H30" s="8">
        <v>450</v>
      </c>
      <c r="I30" s="7">
        <v>450</v>
      </c>
    </row>
    <row r="31" spans="2:9" ht="15.75" thickBot="1" x14ac:dyDescent="0.3">
      <c r="B31" s="164" t="s">
        <v>0</v>
      </c>
      <c r="C31" s="165"/>
      <c r="D31" s="165"/>
      <c r="E31" s="165"/>
      <c r="F31" s="165"/>
      <c r="G31" s="165"/>
      <c r="H31" s="165"/>
      <c r="I31" s="166"/>
    </row>
    <row r="32" spans="2:9" ht="29.25" thickBot="1" x14ac:dyDescent="0.5">
      <c r="B32" s="146"/>
      <c r="C32" s="147"/>
      <c r="D32" s="147"/>
      <c r="E32" s="147"/>
      <c r="F32" s="148"/>
      <c r="G32" s="77">
        <f>SUM(G16:G27)</f>
        <v>416300</v>
      </c>
      <c r="H32" s="78"/>
      <c r="I32" s="79">
        <f>SUM(I16:I30)</f>
        <v>62922.36</v>
      </c>
    </row>
    <row r="34" spans="4:9" x14ac:dyDescent="0.2">
      <c r="D34" s="3"/>
      <c r="I34" s="3"/>
    </row>
    <row r="38" spans="4:9" x14ac:dyDescent="0.2">
      <c r="D38" s="2"/>
    </row>
  </sheetData>
  <mergeCells count="7">
    <mergeCell ref="B32:F32"/>
    <mergeCell ref="A1:I1"/>
    <mergeCell ref="A2:B3"/>
    <mergeCell ref="C2:G3"/>
    <mergeCell ref="B13:C13"/>
    <mergeCell ref="H13:I13"/>
    <mergeCell ref="B31:I31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5F68-9974-4B3F-9651-79A0FE48DDC7}">
  <sheetPr>
    <pageSetUpPr fitToPage="1"/>
  </sheetPr>
  <dimension ref="A1:J51"/>
  <sheetViews>
    <sheetView topLeftCell="A15" zoomScale="121" zoomScaleNormal="121" workbookViewId="0">
      <selection activeCell="B36" sqref="B36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141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140</v>
      </c>
      <c r="C13" s="162"/>
      <c r="D13" s="42"/>
      <c r="E13" s="41"/>
      <c r="F13" s="41"/>
      <c r="G13" s="41"/>
      <c r="H13" s="163" t="s">
        <v>142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69" t="s">
        <v>19</v>
      </c>
      <c r="C16" s="69" t="s">
        <v>18</v>
      </c>
      <c r="D16" s="66" t="s">
        <v>147</v>
      </c>
      <c r="E16" s="69">
        <v>47975</v>
      </c>
      <c r="F16" s="13">
        <v>1942577</v>
      </c>
      <c r="G16" s="70">
        <v>100000</v>
      </c>
      <c r="H16" s="73">
        <v>0.16830000000000001</v>
      </c>
      <c r="I16" s="17">
        <f>H16*G16</f>
        <v>16830</v>
      </c>
    </row>
    <row r="17" spans="2:9" ht="18" customHeight="1" x14ac:dyDescent="0.25">
      <c r="B17" s="27" t="s">
        <v>23</v>
      </c>
      <c r="C17" s="32" t="s">
        <v>22</v>
      </c>
      <c r="D17" s="67" t="s">
        <v>148</v>
      </c>
      <c r="E17" s="32">
        <v>48411</v>
      </c>
      <c r="F17" s="29">
        <v>1958982</v>
      </c>
      <c r="G17" s="71">
        <v>100000</v>
      </c>
      <c r="H17" s="74">
        <v>0.13800000000000001</v>
      </c>
      <c r="I17" s="64">
        <f t="shared" ref="I17:I40" si="0">H17*G17</f>
        <v>13800.000000000002</v>
      </c>
    </row>
    <row r="18" spans="2:9" ht="18" customHeight="1" x14ac:dyDescent="0.25">
      <c r="B18" s="27" t="s">
        <v>121</v>
      </c>
      <c r="C18" s="32" t="s">
        <v>136</v>
      </c>
      <c r="D18" s="67" t="s">
        <v>148</v>
      </c>
      <c r="E18" s="32">
        <v>48573</v>
      </c>
      <c r="F18" s="29">
        <v>1963255</v>
      </c>
      <c r="G18" s="71">
        <v>55600</v>
      </c>
      <c r="H18" s="74">
        <v>8.1299999999999997E-2</v>
      </c>
      <c r="I18" s="64">
        <f t="shared" si="0"/>
        <v>4520.28</v>
      </c>
    </row>
    <row r="19" spans="2:9" ht="18" customHeight="1" x14ac:dyDescent="0.25">
      <c r="B19" s="27" t="s">
        <v>97</v>
      </c>
      <c r="C19" s="32" t="s">
        <v>110</v>
      </c>
      <c r="D19" s="67" t="s">
        <v>147</v>
      </c>
      <c r="E19" s="32">
        <v>48082</v>
      </c>
      <c r="F19" s="29">
        <v>1948469</v>
      </c>
      <c r="G19" s="71">
        <v>20000</v>
      </c>
      <c r="H19" s="74">
        <v>0.15190000000000001</v>
      </c>
      <c r="I19" s="64">
        <f t="shared" si="0"/>
        <v>3038</v>
      </c>
    </row>
    <row r="20" spans="2:9" ht="18" customHeight="1" x14ac:dyDescent="0.25">
      <c r="B20" s="27" t="s">
        <v>97</v>
      </c>
      <c r="C20" s="32" t="s">
        <v>110</v>
      </c>
      <c r="D20" s="67" t="s">
        <v>147</v>
      </c>
      <c r="E20" s="32">
        <v>48083</v>
      </c>
      <c r="F20" s="29">
        <v>1948477</v>
      </c>
      <c r="G20" s="71">
        <v>20000</v>
      </c>
      <c r="H20" s="74">
        <v>0.15190000000000001</v>
      </c>
      <c r="I20" s="64">
        <f t="shared" si="0"/>
        <v>3038</v>
      </c>
    </row>
    <row r="21" spans="2:9" ht="18" customHeight="1" x14ac:dyDescent="0.25">
      <c r="B21" s="27" t="s">
        <v>97</v>
      </c>
      <c r="C21" s="32" t="s">
        <v>110</v>
      </c>
      <c r="D21" s="67" t="s">
        <v>147</v>
      </c>
      <c r="E21" s="32">
        <v>48084</v>
      </c>
      <c r="F21" s="29">
        <v>1948485</v>
      </c>
      <c r="G21" s="71">
        <v>20000</v>
      </c>
      <c r="H21" s="74">
        <v>0.15190000000000001</v>
      </c>
      <c r="I21" s="64">
        <f t="shared" si="0"/>
        <v>3038</v>
      </c>
    </row>
    <row r="22" spans="2:9" ht="18" customHeight="1" x14ac:dyDescent="0.25">
      <c r="B22" s="27" t="s">
        <v>12</v>
      </c>
      <c r="C22" s="32" t="s">
        <v>11</v>
      </c>
      <c r="D22" s="67" t="s">
        <v>147</v>
      </c>
      <c r="E22" s="32">
        <v>48384</v>
      </c>
      <c r="F22" s="29">
        <v>1958456</v>
      </c>
      <c r="G22" s="71">
        <v>15400</v>
      </c>
      <c r="H22" s="74">
        <v>0.21529999999999999</v>
      </c>
      <c r="I22" s="64">
        <f>H22*G22</f>
        <v>3315.62</v>
      </c>
    </row>
    <row r="23" spans="2:9" ht="18" customHeight="1" x14ac:dyDescent="0.25">
      <c r="B23" s="27" t="s">
        <v>12</v>
      </c>
      <c r="C23" s="32" t="s">
        <v>11</v>
      </c>
      <c r="D23" s="67" t="s">
        <v>147</v>
      </c>
      <c r="E23" s="32">
        <v>48383</v>
      </c>
      <c r="F23" s="29">
        <v>1958448</v>
      </c>
      <c r="G23" s="71">
        <v>11000</v>
      </c>
      <c r="H23" s="74">
        <v>0.21529999999999999</v>
      </c>
      <c r="I23" s="64">
        <f t="shared" si="0"/>
        <v>2368.2999999999997</v>
      </c>
    </row>
    <row r="24" spans="2:9" ht="18" customHeight="1" x14ac:dyDescent="0.25">
      <c r="B24" s="27" t="s">
        <v>14</v>
      </c>
      <c r="C24" s="32" t="s">
        <v>13</v>
      </c>
      <c r="D24" s="67" t="s">
        <v>147</v>
      </c>
      <c r="E24" s="32">
        <v>48402</v>
      </c>
      <c r="F24" s="29">
        <v>1958780</v>
      </c>
      <c r="G24" s="71">
        <v>10000</v>
      </c>
      <c r="H24" s="74">
        <v>0.17519999999999999</v>
      </c>
      <c r="I24" s="64">
        <f t="shared" si="0"/>
        <v>1752</v>
      </c>
    </row>
    <row r="25" spans="2:9" ht="18" customHeight="1" x14ac:dyDescent="0.25">
      <c r="B25" s="27" t="s">
        <v>17</v>
      </c>
      <c r="C25" s="32" t="s">
        <v>16</v>
      </c>
      <c r="D25" s="67" t="s">
        <v>148</v>
      </c>
      <c r="E25" s="32">
        <v>48569</v>
      </c>
      <c r="F25" s="29">
        <v>1963183</v>
      </c>
      <c r="G25" s="71">
        <v>7100</v>
      </c>
      <c r="H25" s="74">
        <v>0.16059999999999999</v>
      </c>
      <c r="I25" s="64">
        <f t="shared" si="0"/>
        <v>1140.26</v>
      </c>
    </row>
    <row r="26" spans="2:9" ht="18" customHeight="1" x14ac:dyDescent="0.25">
      <c r="B26" s="27" t="s">
        <v>144</v>
      </c>
      <c r="C26" s="32" t="s">
        <v>146</v>
      </c>
      <c r="D26" s="67" t="s">
        <v>147</v>
      </c>
      <c r="E26" s="32">
        <v>48558</v>
      </c>
      <c r="F26" s="29">
        <v>1963010</v>
      </c>
      <c r="G26" s="71">
        <v>7000</v>
      </c>
      <c r="H26" s="74">
        <v>0.14979999999999999</v>
      </c>
      <c r="I26" s="64">
        <f t="shared" si="0"/>
        <v>1048.5999999999999</v>
      </c>
    </row>
    <row r="27" spans="2:9" ht="18" customHeight="1" x14ac:dyDescent="0.25">
      <c r="B27" s="27" t="s">
        <v>61</v>
      </c>
      <c r="C27" s="32" t="s">
        <v>73</v>
      </c>
      <c r="D27" s="67" t="s">
        <v>147</v>
      </c>
      <c r="E27" s="32">
        <v>48176</v>
      </c>
      <c r="F27" s="29">
        <v>1950850</v>
      </c>
      <c r="G27" s="71">
        <v>6500</v>
      </c>
      <c r="H27" s="74">
        <v>0.2276</v>
      </c>
      <c r="I27" s="64">
        <f>H27*G27</f>
        <v>1479.4</v>
      </c>
    </row>
    <row r="28" spans="2:9" ht="18" customHeight="1" x14ac:dyDescent="0.25">
      <c r="B28" s="27" t="s">
        <v>151</v>
      </c>
      <c r="C28" s="32" t="s">
        <v>160</v>
      </c>
      <c r="D28" s="67" t="s">
        <v>147</v>
      </c>
      <c r="E28" s="32">
        <v>48314</v>
      </c>
      <c r="F28" s="29">
        <v>1955917</v>
      </c>
      <c r="G28" s="71">
        <v>5000</v>
      </c>
      <c r="H28" s="74">
        <v>0.2293</v>
      </c>
      <c r="I28" s="64">
        <f t="shared" si="0"/>
        <v>1146.5</v>
      </c>
    </row>
    <row r="29" spans="2:9" ht="18" customHeight="1" x14ac:dyDescent="0.25">
      <c r="B29" s="27" t="s">
        <v>95</v>
      </c>
      <c r="C29" s="32" t="s">
        <v>108</v>
      </c>
      <c r="D29" s="67" t="s">
        <v>147</v>
      </c>
      <c r="E29" s="32">
        <v>48670</v>
      </c>
      <c r="F29" s="29">
        <v>1966915</v>
      </c>
      <c r="G29" s="71">
        <v>5000</v>
      </c>
      <c r="H29" s="74">
        <v>0.22839999999999999</v>
      </c>
      <c r="I29" s="64">
        <f t="shared" si="0"/>
        <v>1142</v>
      </c>
    </row>
    <row r="30" spans="2:9" ht="18" customHeight="1" x14ac:dyDescent="0.25">
      <c r="B30" s="27" t="s">
        <v>143</v>
      </c>
      <c r="C30" s="32" t="s">
        <v>145</v>
      </c>
      <c r="D30" s="67" t="s">
        <v>147</v>
      </c>
      <c r="E30" s="32">
        <v>47899</v>
      </c>
      <c r="F30" s="29">
        <v>1939976</v>
      </c>
      <c r="G30" s="71">
        <v>4800</v>
      </c>
      <c r="H30" s="74">
        <v>0.15679999999999999</v>
      </c>
      <c r="I30" s="64">
        <f>H30*G30</f>
        <v>752.64</v>
      </c>
    </row>
    <row r="31" spans="2:9" ht="18" customHeight="1" x14ac:dyDescent="0.25">
      <c r="B31" s="27" t="s">
        <v>19</v>
      </c>
      <c r="C31" s="32" t="s">
        <v>18</v>
      </c>
      <c r="D31" s="67" t="s">
        <v>147</v>
      </c>
      <c r="E31" s="32">
        <v>47972</v>
      </c>
      <c r="F31" s="29">
        <v>1942542</v>
      </c>
      <c r="G31" s="71">
        <v>4700</v>
      </c>
      <c r="H31" s="74">
        <v>0.16830000000000001</v>
      </c>
      <c r="I31" s="64">
        <f t="shared" si="0"/>
        <v>791.01</v>
      </c>
    </row>
    <row r="32" spans="2:9" ht="18" customHeight="1" x14ac:dyDescent="0.25">
      <c r="B32" s="27" t="s">
        <v>14</v>
      </c>
      <c r="C32" s="32" t="s">
        <v>13</v>
      </c>
      <c r="D32" s="67" t="s">
        <v>147</v>
      </c>
      <c r="E32" s="32">
        <v>48404</v>
      </c>
      <c r="F32" s="29">
        <v>1958801</v>
      </c>
      <c r="G32" s="71">
        <v>2000</v>
      </c>
      <c r="H32" s="74">
        <v>0.17519999999999999</v>
      </c>
      <c r="I32" s="64">
        <f>H32*G32</f>
        <v>350.4</v>
      </c>
    </row>
    <row r="33" spans="2:9" ht="18" customHeight="1" x14ac:dyDescent="0.25">
      <c r="B33" s="27" t="s">
        <v>97</v>
      </c>
      <c r="C33" s="32" t="s">
        <v>110</v>
      </c>
      <c r="D33" s="67" t="s">
        <v>147</v>
      </c>
      <c r="E33" s="32">
        <v>48727</v>
      </c>
      <c r="F33" s="29">
        <v>1969673</v>
      </c>
      <c r="G33" s="71">
        <v>1000</v>
      </c>
      <c r="H33" s="74">
        <v>0.16589999999999999</v>
      </c>
      <c r="I33" s="64">
        <f t="shared" si="0"/>
        <v>165.9</v>
      </c>
    </row>
    <row r="34" spans="2:9" ht="18" customHeight="1" x14ac:dyDescent="0.25">
      <c r="B34" s="27" t="s">
        <v>143</v>
      </c>
      <c r="C34" s="32" t="s">
        <v>145</v>
      </c>
      <c r="D34" s="67" t="s">
        <v>147</v>
      </c>
      <c r="E34" s="32">
        <v>48728</v>
      </c>
      <c r="F34" s="29">
        <v>1969681</v>
      </c>
      <c r="G34" s="71">
        <v>1000</v>
      </c>
      <c r="H34" s="74">
        <v>0.16589999999999999</v>
      </c>
      <c r="I34" s="64">
        <f t="shared" si="0"/>
        <v>165.9</v>
      </c>
    </row>
    <row r="35" spans="2:9" ht="18" customHeight="1" x14ac:dyDescent="0.25">
      <c r="B35" s="27" t="s">
        <v>19</v>
      </c>
      <c r="C35" s="32" t="s">
        <v>18</v>
      </c>
      <c r="D35" s="67" t="s">
        <v>147</v>
      </c>
      <c r="E35" s="32">
        <v>48729</v>
      </c>
      <c r="F35" s="29">
        <v>1969690</v>
      </c>
      <c r="G35" s="71">
        <v>1000</v>
      </c>
      <c r="H35" s="74">
        <v>0.1699</v>
      </c>
      <c r="I35" s="64">
        <f t="shared" si="0"/>
        <v>169.9</v>
      </c>
    </row>
    <row r="36" spans="2:9" ht="18" customHeight="1" x14ac:dyDescent="0.25">
      <c r="B36" s="27" t="s">
        <v>153</v>
      </c>
      <c r="C36" s="32" t="s">
        <v>158</v>
      </c>
      <c r="D36" s="67" t="s">
        <v>147</v>
      </c>
      <c r="E36" s="32">
        <v>48284</v>
      </c>
      <c r="F36" s="29">
        <v>1954519</v>
      </c>
      <c r="G36" s="71">
        <v>1000</v>
      </c>
      <c r="H36" s="74">
        <v>0.17849999999999999</v>
      </c>
      <c r="I36" s="64">
        <f t="shared" si="0"/>
        <v>178.5</v>
      </c>
    </row>
    <row r="37" spans="2:9" ht="18" customHeight="1" x14ac:dyDescent="0.25">
      <c r="B37" s="27" t="s">
        <v>154</v>
      </c>
      <c r="C37" s="32" t="s">
        <v>157</v>
      </c>
      <c r="D37" s="67" t="s">
        <v>147</v>
      </c>
      <c r="E37" s="32">
        <v>48610</v>
      </c>
      <c r="F37" s="29">
        <v>1964979</v>
      </c>
      <c r="G37" s="71">
        <v>1000</v>
      </c>
      <c r="H37" s="74">
        <v>0.1782</v>
      </c>
      <c r="I37" s="64">
        <f t="shared" si="0"/>
        <v>178.2</v>
      </c>
    </row>
    <row r="38" spans="2:9" ht="18" customHeight="1" x14ac:dyDescent="0.25">
      <c r="B38" s="27" t="s">
        <v>155</v>
      </c>
      <c r="C38" s="32" t="s">
        <v>149</v>
      </c>
      <c r="D38" s="67" t="s">
        <v>147</v>
      </c>
      <c r="E38" s="32">
        <v>48611</v>
      </c>
      <c r="F38" s="29">
        <v>1964987</v>
      </c>
      <c r="G38" s="71">
        <v>1000</v>
      </c>
      <c r="H38" s="74">
        <v>0.1915</v>
      </c>
      <c r="I38" s="64">
        <f t="shared" si="0"/>
        <v>191.5</v>
      </c>
    </row>
    <row r="39" spans="2:9" ht="18" customHeight="1" x14ac:dyDescent="0.25">
      <c r="B39" s="27" t="s">
        <v>156</v>
      </c>
      <c r="C39" s="27" t="s">
        <v>150</v>
      </c>
      <c r="D39" s="67" t="s">
        <v>147</v>
      </c>
      <c r="E39" s="27">
        <v>48612</v>
      </c>
      <c r="F39" s="13">
        <v>1964995</v>
      </c>
      <c r="G39" s="71">
        <v>1000</v>
      </c>
      <c r="H39" s="75">
        <v>0.18160000000000001</v>
      </c>
      <c r="I39" s="64">
        <f t="shared" si="0"/>
        <v>181.60000000000002</v>
      </c>
    </row>
    <row r="40" spans="2:9" ht="19.5" customHeight="1" thickBot="1" x14ac:dyDescent="0.3">
      <c r="B40" s="62" t="s">
        <v>152</v>
      </c>
      <c r="C40" s="62" t="s">
        <v>159</v>
      </c>
      <c r="D40" s="68" t="s">
        <v>147</v>
      </c>
      <c r="E40" s="62">
        <v>48536</v>
      </c>
      <c r="F40" s="68">
        <v>1962367</v>
      </c>
      <c r="G40" s="72">
        <v>800</v>
      </c>
      <c r="H40" s="76">
        <v>0.1915</v>
      </c>
      <c r="I40" s="64">
        <f t="shared" si="0"/>
        <v>153.19999999999999</v>
      </c>
    </row>
    <row r="41" spans="2:9" ht="15.75" x14ac:dyDescent="0.25">
      <c r="B41" s="21" t="s">
        <v>3</v>
      </c>
      <c r="C41" s="20"/>
      <c r="D41" s="15"/>
      <c r="E41" s="20"/>
      <c r="F41" s="20"/>
      <c r="G41" s="19"/>
      <c r="H41" s="18">
        <v>800</v>
      </c>
      <c r="I41" s="17">
        <v>800</v>
      </c>
    </row>
    <row r="42" spans="2:9" ht="15.75" x14ac:dyDescent="0.25">
      <c r="B42" s="16" t="s">
        <v>2</v>
      </c>
      <c r="C42" s="15"/>
      <c r="D42" s="15"/>
      <c r="E42" s="15"/>
      <c r="F42" s="15"/>
      <c r="G42" s="14"/>
      <c r="H42" s="13">
        <v>250</v>
      </c>
      <c r="I42" s="12">
        <v>250</v>
      </c>
    </row>
    <row r="43" spans="2:9" ht="16.5" thickBot="1" x14ac:dyDescent="0.3">
      <c r="B43" s="11" t="s">
        <v>1</v>
      </c>
      <c r="C43" s="10"/>
      <c r="D43" s="10"/>
      <c r="E43" s="10"/>
      <c r="F43" s="10"/>
      <c r="G43" s="9"/>
      <c r="H43" s="8">
        <v>450</v>
      </c>
      <c r="I43" s="7">
        <v>450</v>
      </c>
    </row>
    <row r="44" spans="2:9" ht="15.75" thickBot="1" x14ac:dyDescent="0.3">
      <c r="B44" s="164" t="s">
        <v>0</v>
      </c>
      <c r="C44" s="165"/>
      <c r="D44" s="165"/>
      <c r="E44" s="165"/>
      <c r="F44" s="165"/>
      <c r="G44" s="165"/>
      <c r="H44" s="165"/>
      <c r="I44" s="166"/>
    </row>
    <row r="45" spans="2:9" ht="29.25" thickBot="1" x14ac:dyDescent="0.5">
      <c r="B45" s="146"/>
      <c r="C45" s="147"/>
      <c r="D45" s="147"/>
      <c r="E45" s="147"/>
      <c r="F45" s="148"/>
      <c r="G45" s="77">
        <f>SUM(G16:G40)</f>
        <v>401900</v>
      </c>
      <c r="H45" s="78"/>
      <c r="I45" s="79">
        <f>SUM(I16:I43)</f>
        <v>62435.710000000006</v>
      </c>
    </row>
    <row r="47" spans="2:9" x14ac:dyDescent="0.2">
      <c r="D47" s="3"/>
      <c r="I47" s="3"/>
    </row>
    <row r="51" spans="4:4" x14ac:dyDescent="0.2">
      <c r="D51" s="2"/>
    </row>
  </sheetData>
  <mergeCells count="7">
    <mergeCell ref="B45:F45"/>
    <mergeCell ref="A1:I1"/>
    <mergeCell ref="A2:B3"/>
    <mergeCell ref="C2:G3"/>
    <mergeCell ref="B13:C13"/>
    <mergeCell ref="H13:I13"/>
    <mergeCell ref="B44:I44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5479-F7C5-4074-A3FA-5C242197CCF3}">
  <sheetPr>
    <pageSetUpPr fitToPage="1"/>
  </sheetPr>
  <dimension ref="A1:J45"/>
  <sheetViews>
    <sheetView topLeftCell="A24" zoomScale="121" zoomScaleNormal="121" workbookViewId="0">
      <selection activeCell="C34" sqref="C34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139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119</v>
      </c>
      <c r="C13" s="162"/>
      <c r="D13" s="42"/>
      <c r="E13" s="41"/>
      <c r="F13" s="41"/>
      <c r="G13" s="41"/>
      <c r="H13" s="163" t="s">
        <v>120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27" t="s">
        <v>25</v>
      </c>
      <c r="C16" s="13" t="s">
        <v>24</v>
      </c>
      <c r="D16" s="65" t="s">
        <v>137</v>
      </c>
      <c r="E16" s="13">
        <v>48248</v>
      </c>
      <c r="F16" s="27">
        <v>1952476</v>
      </c>
      <c r="G16" s="26">
        <v>100000</v>
      </c>
      <c r="H16" s="22">
        <v>9.1200000000000003E-2</v>
      </c>
      <c r="I16" s="64">
        <f>H16*G16</f>
        <v>9120</v>
      </c>
    </row>
    <row r="17" spans="2:9" ht="18" customHeight="1" x14ac:dyDescent="0.25">
      <c r="B17" s="27" t="s">
        <v>19</v>
      </c>
      <c r="C17" s="29" t="s">
        <v>18</v>
      </c>
      <c r="D17" s="28" t="s">
        <v>138</v>
      </c>
      <c r="E17" s="29">
        <v>47972</v>
      </c>
      <c r="F17" s="32">
        <v>1942542</v>
      </c>
      <c r="G17" s="26">
        <v>71600</v>
      </c>
      <c r="H17" s="30">
        <v>0.16830000000000001</v>
      </c>
      <c r="I17" s="64">
        <f t="shared" ref="I17:I34" si="0">H17*G17</f>
        <v>12050.28</v>
      </c>
    </row>
    <row r="18" spans="2:9" ht="18" customHeight="1" x14ac:dyDescent="0.25">
      <c r="B18" s="27" t="s">
        <v>121</v>
      </c>
      <c r="C18" s="29" t="s">
        <v>136</v>
      </c>
      <c r="D18" s="28" t="s">
        <v>137</v>
      </c>
      <c r="E18" s="29">
        <v>48573</v>
      </c>
      <c r="F18" s="32">
        <v>1963255</v>
      </c>
      <c r="G18" s="26">
        <v>44400</v>
      </c>
      <c r="H18" s="30">
        <v>8.1299999999999997E-2</v>
      </c>
      <c r="I18" s="64">
        <f t="shared" si="0"/>
        <v>3609.72</v>
      </c>
    </row>
    <row r="19" spans="2:9" ht="18" customHeight="1" x14ac:dyDescent="0.25">
      <c r="B19" s="27" t="s">
        <v>21</v>
      </c>
      <c r="C19" s="29" t="s">
        <v>20</v>
      </c>
      <c r="D19" s="28" t="s">
        <v>138</v>
      </c>
      <c r="E19" s="29">
        <v>47969</v>
      </c>
      <c r="F19" s="32">
        <v>1942518</v>
      </c>
      <c r="G19" s="26">
        <v>40000</v>
      </c>
      <c r="H19" s="30">
        <v>0.17480000000000001</v>
      </c>
      <c r="I19" s="64">
        <f t="shared" si="0"/>
        <v>6992</v>
      </c>
    </row>
    <row r="20" spans="2:9" ht="18" customHeight="1" x14ac:dyDescent="0.25">
      <c r="B20" s="27" t="s">
        <v>91</v>
      </c>
      <c r="C20" s="29" t="s">
        <v>103</v>
      </c>
      <c r="D20" s="28" t="s">
        <v>137</v>
      </c>
      <c r="E20" s="29">
        <v>48568</v>
      </c>
      <c r="F20" s="32">
        <v>1963175</v>
      </c>
      <c r="G20" s="26">
        <v>36500</v>
      </c>
      <c r="H20" s="30">
        <v>8.1199999999999994E-2</v>
      </c>
      <c r="I20" s="64">
        <f t="shared" si="0"/>
        <v>2963.7999999999997</v>
      </c>
    </row>
    <row r="21" spans="2:9" ht="18" customHeight="1" x14ac:dyDescent="0.25">
      <c r="B21" s="27" t="s">
        <v>97</v>
      </c>
      <c r="C21" s="29" t="s">
        <v>110</v>
      </c>
      <c r="D21" s="28" t="s">
        <v>138</v>
      </c>
      <c r="E21" s="29">
        <v>48377</v>
      </c>
      <c r="F21" s="32">
        <v>1958384</v>
      </c>
      <c r="G21" s="26">
        <v>20000</v>
      </c>
      <c r="H21" s="30">
        <v>0.15190000000000001</v>
      </c>
      <c r="I21" s="64">
        <f t="shared" si="0"/>
        <v>3038</v>
      </c>
    </row>
    <row r="22" spans="2:9" ht="18" customHeight="1" x14ac:dyDescent="0.25">
      <c r="B22" s="27" t="s">
        <v>14</v>
      </c>
      <c r="C22" s="29" t="s">
        <v>13</v>
      </c>
      <c r="D22" s="28" t="s">
        <v>138</v>
      </c>
      <c r="E22" s="29">
        <v>48402</v>
      </c>
      <c r="F22" s="32">
        <v>1958780</v>
      </c>
      <c r="G22" s="26">
        <v>30000</v>
      </c>
      <c r="H22" s="30">
        <v>0.17519999999999999</v>
      </c>
      <c r="I22" s="64">
        <f t="shared" si="0"/>
        <v>5256</v>
      </c>
    </row>
    <row r="23" spans="2:9" ht="18" customHeight="1" x14ac:dyDescent="0.25">
      <c r="B23" s="27" t="s">
        <v>122</v>
      </c>
      <c r="C23" s="29" t="s">
        <v>135</v>
      </c>
      <c r="D23" s="28" t="s">
        <v>138</v>
      </c>
      <c r="E23" s="29">
        <v>48256</v>
      </c>
      <c r="F23" s="32">
        <v>1952775</v>
      </c>
      <c r="G23" s="26">
        <v>15000</v>
      </c>
      <c r="H23" s="30">
        <v>0.2298</v>
      </c>
      <c r="I23" s="64">
        <f t="shared" si="0"/>
        <v>3447</v>
      </c>
    </row>
    <row r="24" spans="2:9" ht="18" customHeight="1" x14ac:dyDescent="0.25">
      <c r="B24" s="27" t="s">
        <v>14</v>
      </c>
      <c r="C24" s="29" t="s">
        <v>13</v>
      </c>
      <c r="D24" s="28" t="s">
        <v>138</v>
      </c>
      <c r="E24" s="29">
        <v>48401</v>
      </c>
      <c r="F24" s="32">
        <v>1958771</v>
      </c>
      <c r="G24" s="26">
        <v>12500</v>
      </c>
      <c r="H24" s="30">
        <v>0.17519999999999999</v>
      </c>
      <c r="I24" s="64">
        <f t="shared" si="0"/>
        <v>2190</v>
      </c>
    </row>
    <row r="25" spans="2:9" ht="18" customHeight="1" x14ac:dyDescent="0.25">
      <c r="B25" s="27" t="s">
        <v>97</v>
      </c>
      <c r="C25" s="29" t="s">
        <v>110</v>
      </c>
      <c r="D25" s="28" t="s">
        <v>138</v>
      </c>
      <c r="E25" s="29">
        <v>48085</v>
      </c>
      <c r="F25" s="32">
        <v>1948493</v>
      </c>
      <c r="G25" s="26">
        <v>12100</v>
      </c>
      <c r="H25" s="30">
        <v>0.15190000000000001</v>
      </c>
      <c r="I25" s="64">
        <f t="shared" si="0"/>
        <v>1837.99</v>
      </c>
    </row>
    <row r="26" spans="2:9" ht="18" customHeight="1" x14ac:dyDescent="0.25">
      <c r="B26" s="27" t="s">
        <v>123</v>
      </c>
      <c r="C26" s="29" t="s">
        <v>134</v>
      </c>
      <c r="D26" s="28" t="s">
        <v>138</v>
      </c>
      <c r="E26" s="29">
        <v>47822</v>
      </c>
      <c r="F26" s="32">
        <v>1937196</v>
      </c>
      <c r="G26" s="26">
        <v>11000</v>
      </c>
      <c r="H26" s="30">
        <v>0.20399999999999999</v>
      </c>
      <c r="I26" s="64">
        <f t="shared" si="0"/>
        <v>2244</v>
      </c>
    </row>
    <row r="27" spans="2:9" ht="18" customHeight="1" x14ac:dyDescent="0.25">
      <c r="B27" s="27" t="s">
        <v>124</v>
      </c>
      <c r="C27" s="29" t="s">
        <v>133</v>
      </c>
      <c r="D27" s="28" t="s">
        <v>138</v>
      </c>
      <c r="E27" s="29">
        <v>48182</v>
      </c>
      <c r="F27" s="32">
        <v>1950964</v>
      </c>
      <c r="G27" s="26">
        <v>11000</v>
      </c>
      <c r="H27" s="30">
        <v>0.19919999999999999</v>
      </c>
      <c r="I27" s="64">
        <f t="shared" si="0"/>
        <v>2191.1999999999998</v>
      </c>
    </row>
    <row r="28" spans="2:9" ht="18" customHeight="1" x14ac:dyDescent="0.25">
      <c r="B28" s="27" t="s">
        <v>125</v>
      </c>
      <c r="C28" s="29" t="s">
        <v>132</v>
      </c>
      <c r="D28" s="28" t="s">
        <v>138</v>
      </c>
      <c r="E28" s="29">
        <v>48543</v>
      </c>
      <c r="F28" s="32">
        <v>1962447</v>
      </c>
      <c r="G28" s="26">
        <v>10000</v>
      </c>
      <c r="H28" s="30">
        <v>0.15909999999999999</v>
      </c>
      <c r="I28" s="64">
        <f t="shared" si="0"/>
        <v>1591</v>
      </c>
    </row>
    <row r="29" spans="2:9" ht="18" customHeight="1" x14ac:dyDescent="0.25">
      <c r="B29" s="27" t="s">
        <v>62</v>
      </c>
      <c r="C29" s="29" t="s">
        <v>74</v>
      </c>
      <c r="D29" s="28" t="s">
        <v>138</v>
      </c>
      <c r="E29" s="29">
        <v>47228</v>
      </c>
      <c r="F29" s="32">
        <v>1915675</v>
      </c>
      <c r="G29" s="26">
        <v>4500</v>
      </c>
      <c r="H29" s="30">
        <v>0.16009999999999999</v>
      </c>
      <c r="I29" s="64">
        <f t="shared" si="0"/>
        <v>720.44999999999993</v>
      </c>
    </row>
    <row r="30" spans="2:9" ht="18" customHeight="1" x14ac:dyDescent="0.25">
      <c r="B30" s="27" t="s">
        <v>60</v>
      </c>
      <c r="C30" s="29" t="s">
        <v>72</v>
      </c>
      <c r="D30" s="28" t="s">
        <v>138</v>
      </c>
      <c r="E30" s="29">
        <v>48324</v>
      </c>
      <c r="F30" s="32">
        <v>1956012</v>
      </c>
      <c r="G30" s="26">
        <v>3100</v>
      </c>
      <c r="H30" s="30">
        <v>0.14990000000000001</v>
      </c>
      <c r="I30" s="64">
        <f t="shared" si="0"/>
        <v>464.69</v>
      </c>
    </row>
    <row r="31" spans="2:9" ht="18" customHeight="1" x14ac:dyDescent="0.25">
      <c r="B31" s="27" t="s">
        <v>126</v>
      </c>
      <c r="C31" s="29" t="s">
        <v>131</v>
      </c>
      <c r="D31" s="28" t="s">
        <v>138</v>
      </c>
      <c r="E31" s="29">
        <v>48540</v>
      </c>
      <c r="F31" s="32">
        <v>1962412</v>
      </c>
      <c r="G31" s="26">
        <v>2100</v>
      </c>
      <c r="H31" s="30">
        <v>0.1542</v>
      </c>
      <c r="I31" s="64">
        <f t="shared" si="0"/>
        <v>323.82</v>
      </c>
    </row>
    <row r="32" spans="2:9" ht="18" customHeight="1" x14ac:dyDescent="0.25">
      <c r="B32" s="27" t="s">
        <v>127</v>
      </c>
      <c r="C32" s="29" t="s">
        <v>130</v>
      </c>
      <c r="D32" s="28" t="s">
        <v>138</v>
      </c>
      <c r="E32" s="29">
        <v>48347</v>
      </c>
      <c r="F32" s="32">
        <v>1956805</v>
      </c>
      <c r="G32" s="26">
        <v>1000</v>
      </c>
      <c r="H32" s="30">
        <v>0.1883</v>
      </c>
      <c r="I32" s="64">
        <f t="shared" si="0"/>
        <v>188.29999999999998</v>
      </c>
    </row>
    <row r="33" spans="2:9" ht="18" customHeight="1" x14ac:dyDescent="0.25">
      <c r="B33" s="27" t="s">
        <v>92</v>
      </c>
      <c r="C33" s="29" t="s">
        <v>104</v>
      </c>
      <c r="D33" s="28" t="s">
        <v>138</v>
      </c>
      <c r="E33" s="29">
        <v>48286</v>
      </c>
      <c r="F33" s="32">
        <v>1954789</v>
      </c>
      <c r="G33" s="26">
        <v>1000</v>
      </c>
      <c r="H33" s="30">
        <v>0.17519999999999999</v>
      </c>
      <c r="I33" s="64">
        <f t="shared" si="0"/>
        <v>175.2</v>
      </c>
    </row>
    <row r="34" spans="2:9" ht="19.5" customHeight="1" thickBot="1" x14ac:dyDescent="0.3">
      <c r="B34" s="62" t="s">
        <v>128</v>
      </c>
      <c r="C34" s="25" t="s">
        <v>129</v>
      </c>
      <c r="D34" s="24" t="s">
        <v>138</v>
      </c>
      <c r="E34" s="25" t="s">
        <v>129</v>
      </c>
      <c r="F34" s="24" t="s">
        <v>129</v>
      </c>
      <c r="G34" s="26">
        <v>100</v>
      </c>
      <c r="H34" s="30">
        <v>0.25</v>
      </c>
      <c r="I34" s="64">
        <f t="shared" si="0"/>
        <v>25</v>
      </c>
    </row>
    <row r="35" spans="2:9" ht="15.75" x14ac:dyDescent="0.25">
      <c r="B35" s="21" t="s">
        <v>3</v>
      </c>
      <c r="C35" s="20"/>
      <c r="D35" s="15"/>
      <c r="E35" s="20"/>
      <c r="F35" s="20"/>
      <c r="G35" s="19"/>
      <c r="H35" s="18">
        <v>800</v>
      </c>
      <c r="I35" s="17">
        <v>800</v>
      </c>
    </row>
    <row r="36" spans="2:9" ht="15.75" x14ac:dyDescent="0.25">
      <c r="B36" s="16" t="s">
        <v>2</v>
      </c>
      <c r="C36" s="15"/>
      <c r="D36" s="15"/>
      <c r="E36" s="15"/>
      <c r="F36" s="15"/>
      <c r="G36" s="14"/>
      <c r="H36" s="13">
        <v>250</v>
      </c>
      <c r="I36" s="12">
        <v>250</v>
      </c>
    </row>
    <row r="37" spans="2:9" ht="16.5" thickBot="1" x14ac:dyDescent="0.3">
      <c r="B37" s="11" t="s">
        <v>1</v>
      </c>
      <c r="C37" s="10"/>
      <c r="D37" s="10"/>
      <c r="E37" s="10"/>
      <c r="F37" s="10"/>
      <c r="G37" s="9"/>
      <c r="H37" s="8">
        <v>450</v>
      </c>
      <c r="I37" s="7">
        <v>450</v>
      </c>
    </row>
    <row r="38" spans="2:9" ht="15.75" thickBot="1" x14ac:dyDescent="0.3">
      <c r="B38" s="164" t="s">
        <v>0</v>
      </c>
      <c r="C38" s="165"/>
      <c r="D38" s="165"/>
      <c r="E38" s="165"/>
      <c r="F38" s="165"/>
      <c r="G38" s="165"/>
      <c r="H38" s="165"/>
      <c r="I38" s="166"/>
    </row>
    <row r="39" spans="2:9" ht="29.25" thickBot="1" x14ac:dyDescent="0.5">
      <c r="B39" s="146"/>
      <c r="C39" s="147"/>
      <c r="D39" s="147"/>
      <c r="E39" s="147"/>
      <c r="F39" s="148"/>
      <c r="G39" s="6">
        <f>SUM(G16:G34)</f>
        <v>425900</v>
      </c>
      <c r="H39" s="5"/>
      <c r="I39" s="4">
        <f>SUM(I16:I37)</f>
        <v>59928.45</v>
      </c>
    </row>
    <row r="41" spans="2:9" x14ac:dyDescent="0.2">
      <c r="D41" s="3"/>
      <c r="I41" s="3"/>
    </row>
    <row r="45" spans="2:9" x14ac:dyDescent="0.2">
      <c r="D45" s="2"/>
    </row>
  </sheetData>
  <mergeCells count="7">
    <mergeCell ref="B39:F39"/>
    <mergeCell ref="A1:I1"/>
    <mergeCell ref="A2:B3"/>
    <mergeCell ref="C2:G3"/>
    <mergeCell ref="B13:C13"/>
    <mergeCell ref="H13:I13"/>
    <mergeCell ref="B38:I38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34C0-EE16-4989-A8E3-DA7B3311D75D}">
  <sheetPr>
    <pageSetUpPr fitToPage="1"/>
  </sheetPr>
  <dimension ref="A1:J57"/>
  <sheetViews>
    <sheetView topLeftCell="A36" zoomScale="121" zoomScaleNormal="121" workbookViewId="0">
      <selection activeCell="B36" sqref="B36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88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85</v>
      </c>
      <c r="C13" s="162"/>
      <c r="D13" s="42"/>
      <c r="E13" s="41"/>
      <c r="F13" s="41"/>
      <c r="G13" s="41"/>
      <c r="H13" s="163" t="s">
        <v>86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27" t="s">
        <v>23</v>
      </c>
      <c r="C16" s="13" t="s">
        <v>22</v>
      </c>
      <c r="D16" s="65" t="s">
        <v>89</v>
      </c>
      <c r="E16" s="13">
        <v>48410</v>
      </c>
      <c r="F16" s="27">
        <v>1958974</v>
      </c>
      <c r="G16" s="26">
        <v>100000</v>
      </c>
      <c r="H16" s="22">
        <v>0.13800000000000001</v>
      </c>
      <c r="I16" s="64">
        <f>H16*G16</f>
        <v>13800.000000000002</v>
      </c>
    </row>
    <row r="17" spans="2:9" ht="18" customHeight="1" x14ac:dyDescent="0.25">
      <c r="B17" s="27" t="s">
        <v>25</v>
      </c>
      <c r="C17" s="29" t="s">
        <v>24</v>
      </c>
      <c r="D17" s="28" t="s">
        <v>89</v>
      </c>
      <c r="E17" s="29">
        <v>48563</v>
      </c>
      <c r="F17" s="32">
        <v>1963079</v>
      </c>
      <c r="G17" s="31">
        <v>100000</v>
      </c>
      <c r="H17" s="30">
        <v>9.1200000000000003E-2</v>
      </c>
      <c r="I17" s="64">
        <f t="shared" ref="I17:I46" si="0">H17*G17</f>
        <v>9120</v>
      </c>
    </row>
    <row r="18" spans="2:9" ht="18" customHeight="1" x14ac:dyDescent="0.25">
      <c r="B18" s="27" t="s">
        <v>91</v>
      </c>
      <c r="C18" s="29" t="s">
        <v>103</v>
      </c>
      <c r="D18" s="28" t="s">
        <v>89</v>
      </c>
      <c r="E18" s="29">
        <v>48568</v>
      </c>
      <c r="F18" s="32">
        <v>1963175</v>
      </c>
      <c r="G18" s="31">
        <v>63500</v>
      </c>
      <c r="H18" s="30">
        <v>8.1199999999999994E-2</v>
      </c>
      <c r="I18" s="64">
        <f t="shared" si="0"/>
        <v>5156.2</v>
      </c>
    </row>
    <row r="19" spans="2:9" ht="18" customHeight="1" x14ac:dyDescent="0.25">
      <c r="B19" s="27" t="s">
        <v>60</v>
      </c>
      <c r="C19" s="29" t="s">
        <v>72</v>
      </c>
      <c r="D19" s="28" t="s">
        <v>90</v>
      </c>
      <c r="E19" s="29">
        <v>48324</v>
      </c>
      <c r="F19" s="32">
        <v>1956012</v>
      </c>
      <c r="G19" s="31">
        <v>63200</v>
      </c>
      <c r="H19" s="30">
        <v>0.14990000000000001</v>
      </c>
      <c r="I19" s="64">
        <f t="shared" si="0"/>
        <v>9473.68</v>
      </c>
    </row>
    <row r="20" spans="2:9" ht="18" customHeight="1" x14ac:dyDescent="0.25">
      <c r="B20" s="27" t="s">
        <v>14</v>
      </c>
      <c r="C20" s="29" t="s">
        <v>13</v>
      </c>
      <c r="D20" s="28" t="s">
        <v>90</v>
      </c>
      <c r="E20" s="29">
        <v>48401</v>
      </c>
      <c r="F20" s="32">
        <v>1958771</v>
      </c>
      <c r="G20" s="31">
        <v>27500</v>
      </c>
      <c r="H20" s="30">
        <v>0.17519999999999999</v>
      </c>
      <c r="I20" s="64">
        <f t="shared" si="0"/>
        <v>4818</v>
      </c>
    </row>
    <row r="21" spans="2:9" ht="18" customHeight="1" x14ac:dyDescent="0.25">
      <c r="B21" s="27" t="s">
        <v>19</v>
      </c>
      <c r="C21" s="29" t="s">
        <v>18</v>
      </c>
      <c r="D21" s="28" t="s">
        <v>90</v>
      </c>
      <c r="E21" s="29">
        <v>47972</v>
      </c>
      <c r="F21" s="32">
        <v>1942542</v>
      </c>
      <c r="G21" s="31">
        <v>23700</v>
      </c>
      <c r="H21" s="30">
        <v>0.16830000000000001</v>
      </c>
      <c r="I21" s="64">
        <f t="shared" si="0"/>
        <v>3988.71</v>
      </c>
    </row>
    <row r="22" spans="2:9" ht="18" customHeight="1" x14ac:dyDescent="0.25">
      <c r="B22" s="27" t="s">
        <v>21</v>
      </c>
      <c r="C22" s="29" t="s">
        <v>20</v>
      </c>
      <c r="D22" s="28" t="s">
        <v>90</v>
      </c>
      <c r="E22" s="29">
        <v>47967</v>
      </c>
      <c r="F22" s="32">
        <v>1942497</v>
      </c>
      <c r="G22" s="31">
        <v>18000</v>
      </c>
      <c r="H22" s="30">
        <v>0.17480000000000001</v>
      </c>
      <c r="I22" s="64">
        <f t="shared" si="0"/>
        <v>3146.4</v>
      </c>
    </row>
    <row r="23" spans="2:9" ht="18" customHeight="1" x14ac:dyDescent="0.25">
      <c r="B23" s="27" t="s">
        <v>62</v>
      </c>
      <c r="C23" s="29" t="s">
        <v>74</v>
      </c>
      <c r="D23" s="28" t="s">
        <v>90</v>
      </c>
      <c r="E23" s="29">
        <v>47228</v>
      </c>
      <c r="F23" s="32">
        <v>1915675</v>
      </c>
      <c r="G23" s="31">
        <v>14300</v>
      </c>
      <c r="H23" s="30">
        <v>0.16009999999999999</v>
      </c>
      <c r="I23" s="64">
        <f t="shared" si="0"/>
        <v>2289.4299999999998</v>
      </c>
    </row>
    <row r="24" spans="2:9" ht="18" customHeight="1" x14ac:dyDescent="0.25">
      <c r="B24" s="27" t="s">
        <v>92</v>
      </c>
      <c r="C24" s="29" t="s">
        <v>104</v>
      </c>
      <c r="D24" s="28" t="s">
        <v>90</v>
      </c>
      <c r="E24" s="29">
        <v>48286</v>
      </c>
      <c r="F24" s="32">
        <v>1954789</v>
      </c>
      <c r="G24" s="31">
        <v>11000</v>
      </c>
      <c r="H24" s="30">
        <v>0.17519999999999999</v>
      </c>
      <c r="I24" s="64">
        <f t="shared" si="0"/>
        <v>1927.2</v>
      </c>
    </row>
    <row r="25" spans="2:9" ht="18" customHeight="1" x14ac:dyDescent="0.25">
      <c r="B25" s="27" t="s">
        <v>93</v>
      </c>
      <c r="C25" s="29" t="s">
        <v>105</v>
      </c>
      <c r="D25" s="28" t="s">
        <v>90</v>
      </c>
      <c r="E25" s="29">
        <v>48175</v>
      </c>
      <c r="F25" s="32">
        <v>1950841</v>
      </c>
      <c r="G25" s="31">
        <v>11000</v>
      </c>
      <c r="H25" s="30">
        <v>0.21909999999999999</v>
      </c>
      <c r="I25" s="64">
        <f t="shared" si="0"/>
        <v>2410.1</v>
      </c>
    </row>
    <row r="26" spans="2:9" ht="18" customHeight="1" x14ac:dyDescent="0.25">
      <c r="B26" s="27" t="s">
        <v>94</v>
      </c>
      <c r="C26" s="29" t="s">
        <v>106</v>
      </c>
      <c r="D26" s="28" t="s">
        <v>90</v>
      </c>
      <c r="E26" s="29">
        <v>48398</v>
      </c>
      <c r="F26" s="32">
        <v>1958721</v>
      </c>
      <c r="G26" s="31">
        <v>11000</v>
      </c>
      <c r="H26" s="30">
        <v>0.16719999999999999</v>
      </c>
      <c r="I26" s="64">
        <f t="shared" si="0"/>
        <v>1839.1999999999998</v>
      </c>
    </row>
    <row r="27" spans="2:9" ht="18" customHeight="1" x14ac:dyDescent="0.25">
      <c r="B27" s="27" t="s">
        <v>97</v>
      </c>
      <c r="C27" s="29" t="s">
        <v>110</v>
      </c>
      <c r="D27" s="28" t="s">
        <v>90</v>
      </c>
      <c r="E27" s="29">
        <v>48085</v>
      </c>
      <c r="F27" s="32">
        <v>1948493</v>
      </c>
      <c r="G27" s="31">
        <v>7900</v>
      </c>
      <c r="H27" s="30">
        <v>0.15190000000000001</v>
      </c>
      <c r="I27" s="64">
        <f t="shared" si="0"/>
        <v>1200.01</v>
      </c>
    </row>
    <row r="28" spans="2:9" ht="18" customHeight="1" x14ac:dyDescent="0.25">
      <c r="B28" s="27" t="s">
        <v>59</v>
      </c>
      <c r="C28" s="29" t="s">
        <v>71</v>
      </c>
      <c r="D28" s="28" t="s">
        <v>90</v>
      </c>
      <c r="E28" s="29">
        <v>48570</v>
      </c>
      <c r="F28" s="32">
        <v>1963191</v>
      </c>
      <c r="G28" s="31">
        <v>7700</v>
      </c>
      <c r="H28" s="30">
        <v>8.43E-2</v>
      </c>
      <c r="I28" s="64">
        <f t="shared" si="0"/>
        <v>649.11</v>
      </c>
    </row>
    <row r="29" spans="2:9" ht="18" customHeight="1" x14ac:dyDescent="0.25">
      <c r="B29" s="27" t="s">
        <v>62</v>
      </c>
      <c r="C29" s="29" t="s">
        <v>74</v>
      </c>
      <c r="D29" s="28" t="s">
        <v>90</v>
      </c>
      <c r="E29" s="29">
        <v>47992</v>
      </c>
      <c r="F29" s="32">
        <v>1943254</v>
      </c>
      <c r="G29" s="31">
        <v>6300</v>
      </c>
      <c r="H29" s="30">
        <v>0.16009999999999999</v>
      </c>
      <c r="I29" s="64">
        <f t="shared" si="0"/>
        <v>1008.63</v>
      </c>
    </row>
    <row r="30" spans="2:9" ht="18" customHeight="1" x14ac:dyDescent="0.25">
      <c r="B30" s="27" t="s">
        <v>17</v>
      </c>
      <c r="C30" s="29" t="s">
        <v>16</v>
      </c>
      <c r="D30" s="28" t="s">
        <v>90</v>
      </c>
      <c r="E30" s="29">
        <v>48098</v>
      </c>
      <c r="F30" s="32">
        <v>1948637</v>
      </c>
      <c r="G30" s="31">
        <v>5900</v>
      </c>
      <c r="H30" s="30">
        <v>0.16059999999999999</v>
      </c>
      <c r="I30" s="64">
        <f t="shared" si="0"/>
        <v>947.54</v>
      </c>
    </row>
    <row r="31" spans="2:9" ht="18" customHeight="1" x14ac:dyDescent="0.25">
      <c r="B31" s="27" t="s">
        <v>23</v>
      </c>
      <c r="C31" s="29" t="s">
        <v>22</v>
      </c>
      <c r="D31" s="28" t="s">
        <v>89</v>
      </c>
      <c r="E31" s="29">
        <v>48096</v>
      </c>
      <c r="F31" s="32">
        <v>1948611</v>
      </c>
      <c r="G31" s="31">
        <v>4200</v>
      </c>
      <c r="H31" s="30">
        <v>0.13800000000000001</v>
      </c>
      <c r="I31" s="64">
        <f t="shared" si="0"/>
        <v>579.6</v>
      </c>
    </row>
    <row r="32" spans="2:9" ht="18" customHeight="1" x14ac:dyDescent="0.25">
      <c r="B32" s="27" t="s">
        <v>116</v>
      </c>
      <c r="C32" s="29" t="s">
        <v>107</v>
      </c>
      <c r="D32" s="28" t="s">
        <v>90</v>
      </c>
      <c r="E32" s="29">
        <v>48509</v>
      </c>
      <c r="F32" s="32">
        <v>1961786</v>
      </c>
      <c r="G32" s="31">
        <v>4000</v>
      </c>
      <c r="H32" s="30">
        <v>0.2571</v>
      </c>
      <c r="I32" s="64">
        <f t="shared" si="0"/>
        <v>1028.4000000000001</v>
      </c>
    </row>
    <row r="33" spans="2:9" ht="18" customHeight="1" x14ac:dyDescent="0.25">
      <c r="B33" s="27" t="s">
        <v>95</v>
      </c>
      <c r="C33" s="29" t="s">
        <v>108</v>
      </c>
      <c r="D33" s="28" t="s">
        <v>90</v>
      </c>
      <c r="E33" s="29">
        <v>48515</v>
      </c>
      <c r="F33" s="32">
        <v>1961874</v>
      </c>
      <c r="G33" s="31">
        <v>3000</v>
      </c>
      <c r="H33" s="30">
        <v>0.22839999999999999</v>
      </c>
      <c r="I33" s="64">
        <f t="shared" si="0"/>
        <v>685.19999999999993</v>
      </c>
    </row>
    <row r="34" spans="2:9" ht="18" customHeight="1" x14ac:dyDescent="0.25">
      <c r="B34" s="27" t="s">
        <v>96</v>
      </c>
      <c r="C34" s="29" t="s">
        <v>109</v>
      </c>
      <c r="D34" s="28" t="s">
        <v>90</v>
      </c>
      <c r="E34" s="29">
        <v>48546</v>
      </c>
      <c r="F34" s="32">
        <v>1962578</v>
      </c>
      <c r="G34" s="31">
        <v>3000</v>
      </c>
      <c r="H34" s="30">
        <v>0.1883</v>
      </c>
      <c r="I34" s="64">
        <f t="shared" si="0"/>
        <v>564.9</v>
      </c>
    </row>
    <row r="35" spans="2:9" ht="18" customHeight="1" x14ac:dyDescent="0.25">
      <c r="B35" s="27" t="s">
        <v>96</v>
      </c>
      <c r="C35" s="29" t="s">
        <v>109</v>
      </c>
      <c r="D35" s="28" t="s">
        <v>90</v>
      </c>
      <c r="E35" s="29">
        <v>48375</v>
      </c>
      <c r="F35" s="32">
        <v>1958368</v>
      </c>
      <c r="G35" s="31">
        <v>3000</v>
      </c>
      <c r="H35" s="30">
        <v>0.1883</v>
      </c>
      <c r="I35" s="64">
        <f t="shared" si="0"/>
        <v>564.9</v>
      </c>
    </row>
    <row r="36" spans="2:9" ht="18" customHeight="1" x14ac:dyDescent="0.25">
      <c r="B36" s="27" t="s">
        <v>63</v>
      </c>
      <c r="C36" s="29" t="s">
        <v>75</v>
      </c>
      <c r="D36" s="28" t="s">
        <v>90</v>
      </c>
      <c r="E36" s="29">
        <v>48090</v>
      </c>
      <c r="F36" s="32">
        <v>1948557</v>
      </c>
      <c r="G36" s="31">
        <v>2000</v>
      </c>
      <c r="H36" s="30">
        <v>0.20119999999999999</v>
      </c>
      <c r="I36" s="64">
        <f t="shared" si="0"/>
        <v>402.4</v>
      </c>
    </row>
    <row r="37" spans="2:9" ht="18" customHeight="1" x14ac:dyDescent="0.25">
      <c r="B37" s="27" t="s">
        <v>98</v>
      </c>
      <c r="C37" s="29" t="s">
        <v>111</v>
      </c>
      <c r="D37" s="28" t="s">
        <v>90</v>
      </c>
      <c r="E37" s="29">
        <v>48508</v>
      </c>
      <c r="F37" s="32">
        <v>1961760</v>
      </c>
      <c r="G37" s="31">
        <v>1000</v>
      </c>
      <c r="H37" s="30">
        <v>0.22989999999999999</v>
      </c>
      <c r="I37" s="64">
        <f t="shared" si="0"/>
        <v>229.9</v>
      </c>
    </row>
    <row r="38" spans="2:9" ht="18" customHeight="1" x14ac:dyDescent="0.25">
      <c r="B38" s="27" t="s">
        <v>99</v>
      </c>
      <c r="C38" s="29" t="s">
        <v>112</v>
      </c>
      <c r="D38" s="28" t="s">
        <v>90</v>
      </c>
      <c r="E38" s="13">
        <v>48510</v>
      </c>
      <c r="F38" s="32">
        <v>1961794</v>
      </c>
      <c r="G38" s="33">
        <v>1000</v>
      </c>
      <c r="H38" s="30">
        <v>0.24890000000000001</v>
      </c>
      <c r="I38" s="64">
        <f t="shared" si="0"/>
        <v>248.9</v>
      </c>
    </row>
    <row r="39" spans="2:9" ht="18" customHeight="1" x14ac:dyDescent="0.25">
      <c r="B39" s="27" t="s">
        <v>100</v>
      </c>
      <c r="C39" s="29" t="s">
        <v>113</v>
      </c>
      <c r="D39" s="28" t="s">
        <v>90</v>
      </c>
      <c r="E39" s="29">
        <v>48538</v>
      </c>
      <c r="F39" s="32">
        <v>1962383</v>
      </c>
      <c r="G39" s="33">
        <v>1000</v>
      </c>
      <c r="H39" s="30">
        <v>0.14990000000000001</v>
      </c>
      <c r="I39" s="64">
        <f t="shared" si="0"/>
        <v>149.9</v>
      </c>
    </row>
    <row r="40" spans="2:9" ht="18" customHeight="1" x14ac:dyDescent="0.25">
      <c r="B40" s="27" t="s">
        <v>70</v>
      </c>
      <c r="C40" s="29" t="s">
        <v>82</v>
      </c>
      <c r="D40" s="28" t="s">
        <v>90</v>
      </c>
      <c r="E40" s="29">
        <v>48539</v>
      </c>
      <c r="F40" s="32">
        <v>1962404</v>
      </c>
      <c r="G40" s="33">
        <v>1000</v>
      </c>
      <c r="H40" s="30">
        <v>0.25990000000000002</v>
      </c>
      <c r="I40" s="64">
        <f t="shared" si="0"/>
        <v>259.90000000000003</v>
      </c>
    </row>
    <row r="41" spans="2:9" ht="18" customHeight="1" x14ac:dyDescent="0.25">
      <c r="B41" s="27" t="s">
        <v>101</v>
      </c>
      <c r="C41" s="29" t="s">
        <v>114</v>
      </c>
      <c r="D41" s="28" t="s">
        <v>89</v>
      </c>
      <c r="E41" s="29">
        <v>48707</v>
      </c>
      <c r="F41" s="32">
        <v>1968224</v>
      </c>
      <c r="G41" s="33">
        <v>200</v>
      </c>
      <c r="H41" s="30">
        <v>0.25</v>
      </c>
      <c r="I41" s="64">
        <f t="shared" si="0"/>
        <v>50</v>
      </c>
    </row>
    <row r="42" spans="2:9" ht="18" customHeight="1" x14ac:dyDescent="0.25">
      <c r="B42" s="27" t="s">
        <v>101</v>
      </c>
      <c r="C42" s="29" t="s">
        <v>114</v>
      </c>
      <c r="D42" s="28" t="s">
        <v>89</v>
      </c>
      <c r="E42" s="29">
        <v>48708</v>
      </c>
      <c r="F42" s="32">
        <v>1968232</v>
      </c>
      <c r="G42" s="33">
        <v>200</v>
      </c>
      <c r="H42" s="30">
        <v>0.25</v>
      </c>
      <c r="I42" s="64">
        <f t="shared" si="0"/>
        <v>50</v>
      </c>
    </row>
    <row r="43" spans="2:9" ht="18" customHeight="1" x14ac:dyDescent="0.25">
      <c r="B43" s="27" t="s">
        <v>102</v>
      </c>
      <c r="C43" s="29" t="s">
        <v>115</v>
      </c>
      <c r="D43" s="28" t="s">
        <v>90</v>
      </c>
      <c r="E43" s="29">
        <v>48709</v>
      </c>
      <c r="F43" s="32">
        <v>1968241</v>
      </c>
      <c r="G43" s="31">
        <v>200</v>
      </c>
      <c r="H43" s="30">
        <v>0.25</v>
      </c>
      <c r="I43" s="64">
        <f t="shared" si="0"/>
        <v>50</v>
      </c>
    </row>
    <row r="44" spans="2:9" ht="18" customHeight="1" x14ac:dyDescent="0.25">
      <c r="B44" s="27" t="s">
        <v>102</v>
      </c>
      <c r="C44" s="29" t="s">
        <v>115</v>
      </c>
      <c r="D44" s="28" t="s">
        <v>90</v>
      </c>
      <c r="E44" s="13">
        <v>48710</v>
      </c>
      <c r="F44" s="32">
        <v>1968259</v>
      </c>
      <c r="G44" s="33">
        <v>200</v>
      </c>
      <c r="H44" s="30">
        <v>0.25</v>
      </c>
      <c r="I44" s="64">
        <f t="shared" si="0"/>
        <v>50</v>
      </c>
    </row>
    <row r="45" spans="2:9" ht="18" customHeight="1" x14ac:dyDescent="0.25">
      <c r="B45" s="27" t="s">
        <v>10</v>
      </c>
      <c r="C45" s="29" t="s">
        <v>9</v>
      </c>
      <c r="D45" s="28" t="s">
        <v>90</v>
      </c>
      <c r="E45" s="29">
        <v>48711</v>
      </c>
      <c r="F45" s="32">
        <v>1968267</v>
      </c>
      <c r="G45" s="31">
        <v>200</v>
      </c>
      <c r="H45" s="30">
        <v>0.25</v>
      </c>
      <c r="I45" s="64">
        <f t="shared" si="0"/>
        <v>50</v>
      </c>
    </row>
    <row r="46" spans="2:9" ht="19.5" customHeight="1" thickBot="1" x14ac:dyDescent="0.3">
      <c r="B46" s="62" t="s">
        <v>10</v>
      </c>
      <c r="C46" s="25" t="s">
        <v>9</v>
      </c>
      <c r="D46" s="24" t="s">
        <v>90</v>
      </c>
      <c r="E46" s="25">
        <v>48712</v>
      </c>
      <c r="F46" s="24">
        <v>1968275</v>
      </c>
      <c r="G46" s="23">
        <v>200</v>
      </c>
      <c r="H46" s="30">
        <v>0.25</v>
      </c>
      <c r="I46" s="64">
        <f t="shared" si="0"/>
        <v>50</v>
      </c>
    </row>
    <row r="47" spans="2:9" ht="15.75" x14ac:dyDescent="0.25">
      <c r="B47" s="21" t="s">
        <v>3</v>
      </c>
      <c r="C47" s="20"/>
      <c r="D47" s="15"/>
      <c r="E47" s="20"/>
      <c r="F47" s="20"/>
      <c r="G47" s="19"/>
      <c r="H47" s="18">
        <v>800</v>
      </c>
      <c r="I47" s="17">
        <v>800</v>
      </c>
    </row>
    <row r="48" spans="2:9" ht="15.75" x14ac:dyDescent="0.25">
      <c r="B48" s="16" t="s">
        <v>2</v>
      </c>
      <c r="C48" s="15"/>
      <c r="D48" s="15"/>
      <c r="E48" s="15"/>
      <c r="F48" s="15"/>
      <c r="G48" s="14"/>
      <c r="H48" s="13">
        <v>250</v>
      </c>
      <c r="I48" s="12">
        <v>250</v>
      </c>
    </row>
    <row r="49" spans="2:9" ht="16.5" thickBot="1" x14ac:dyDescent="0.3">
      <c r="B49" s="11" t="s">
        <v>1</v>
      </c>
      <c r="C49" s="10"/>
      <c r="D49" s="10"/>
      <c r="E49" s="10"/>
      <c r="F49" s="10"/>
      <c r="G49" s="9"/>
      <c r="H49" s="8">
        <v>450</v>
      </c>
      <c r="I49" s="7">
        <v>450</v>
      </c>
    </row>
    <row r="50" spans="2:9" ht="15.75" thickBot="1" x14ac:dyDescent="0.3">
      <c r="B50" s="164" t="s">
        <v>0</v>
      </c>
      <c r="C50" s="165"/>
      <c r="D50" s="165"/>
      <c r="E50" s="165"/>
      <c r="F50" s="165"/>
      <c r="G50" s="165"/>
      <c r="H50" s="165"/>
      <c r="I50" s="166"/>
    </row>
    <row r="51" spans="2:9" ht="29.25" thickBot="1" x14ac:dyDescent="0.5">
      <c r="B51" s="146"/>
      <c r="C51" s="147"/>
      <c r="D51" s="147"/>
      <c r="E51" s="147"/>
      <c r="F51" s="148"/>
      <c r="G51" s="6">
        <f>SUM(G16:G46)</f>
        <v>495400</v>
      </c>
      <c r="H51" s="5"/>
      <c r="I51" s="4">
        <f>SUM(I16:I49)</f>
        <v>68288.209999999977</v>
      </c>
    </row>
    <row r="53" spans="2:9" x14ac:dyDescent="0.2">
      <c r="D53" s="3"/>
      <c r="I53" s="3"/>
    </row>
    <row r="57" spans="2:9" x14ac:dyDescent="0.2">
      <c r="D57" s="2"/>
    </row>
  </sheetData>
  <mergeCells count="7">
    <mergeCell ref="B51:F51"/>
    <mergeCell ref="A1:I1"/>
    <mergeCell ref="A2:B3"/>
    <mergeCell ref="C2:G3"/>
    <mergeCell ref="B13:C13"/>
    <mergeCell ref="H13:I13"/>
    <mergeCell ref="B50:I50"/>
  </mergeCells>
  <phoneticPr fontId="27" type="noConversion"/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6D93-D2FC-4CBC-8D97-3E375016B9E1}">
  <sheetPr>
    <pageSetUpPr fitToPage="1"/>
  </sheetPr>
  <dimension ref="A1:J45"/>
  <sheetViews>
    <sheetView topLeftCell="A24" zoomScale="121" zoomScaleNormal="121" workbookViewId="0">
      <selection activeCell="C26" sqref="C26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3">
      <c r="A4" s="43"/>
      <c r="B4" s="58" t="s">
        <v>118</v>
      </c>
      <c r="C4" s="58"/>
      <c r="D4" s="58"/>
      <c r="E4" s="58"/>
      <c r="F4" s="58"/>
      <c r="G4" s="58"/>
      <c r="H4" s="58"/>
      <c r="I4" s="58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58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57</v>
      </c>
      <c r="C13" s="162"/>
      <c r="D13" s="42"/>
      <c r="E13" s="41"/>
      <c r="F13" s="41"/>
      <c r="G13" s="41"/>
      <c r="H13" s="163" t="s">
        <v>87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9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9" t="s">
        <v>26</v>
      </c>
    </row>
    <row r="16" spans="1:10" ht="18" customHeight="1" x14ac:dyDescent="0.25">
      <c r="B16" s="27" t="s">
        <v>23</v>
      </c>
      <c r="C16" s="13" t="s">
        <v>22</v>
      </c>
      <c r="D16" s="65" t="s">
        <v>83</v>
      </c>
      <c r="E16" s="13">
        <v>48096</v>
      </c>
      <c r="F16" s="27">
        <v>1948611</v>
      </c>
      <c r="G16" s="26">
        <v>95800</v>
      </c>
      <c r="H16" s="22">
        <v>0.13800000000000001</v>
      </c>
      <c r="I16" s="64">
        <f t="shared" ref="I16:I34" si="0">G16*H16</f>
        <v>13220.400000000001</v>
      </c>
    </row>
    <row r="17" spans="2:9" ht="18" customHeight="1" x14ac:dyDescent="0.25">
      <c r="B17" s="27" t="s">
        <v>59</v>
      </c>
      <c r="C17" s="29" t="s">
        <v>71</v>
      </c>
      <c r="D17" s="28" t="s">
        <v>83</v>
      </c>
      <c r="E17" s="29">
        <v>48570</v>
      </c>
      <c r="F17" s="32">
        <v>1963191</v>
      </c>
      <c r="G17" s="31">
        <v>92300</v>
      </c>
      <c r="H17" s="30">
        <v>8.43E-2</v>
      </c>
      <c r="I17" s="64">
        <f t="shared" si="0"/>
        <v>7780.89</v>
      </c>
    </row>
    <row r="18" spans="2:9" ht="18" customHeight="1" x14ac:dyDescent="0.25">
      <c r="B18" s="27" t="s">
        <v>21</v>
      </c>
      <c r="C18" s="29" t="s">
        <v>20</v>
      </c>
      <c r="D18" s="28" t="s">
        <v>84</v>
      </c>
      <c r="E18" s="29">
        <v>47967</v>
      </c>
      <c r="F18" s="32">
        <v>1942497</v>
      </c>
      <c r="G18" s="31">
        <v>82000</v>
      </c>
      <c r="H18" s="30">
        <v>0.17480000000000001</v>
      </c>
      <c r="I18" s="64">
        <f t="shared" si="0"/>
        <v>14333.6</v>
      </c>
    </row>
    <row r="19" spans="2:9" ht="18" customHeight="1" x14ac:dyDescent="0.25">
      <c r="B19" s="27" t="s">
        <v>17</v>
      </c>
      <c r="C19" s="29" t="s">
        <v>16</v>
      </c>
      <c r="D19" s="28" t="s">
        <v>83</v>
      </c>
      <c r="E19" s="29">
        <v>48098</v>
      </c>
      <c r="F19" s="32">
        <v>1948637</v>
      </c>
      <c r="G19" s="31">
        <v>61100</v>
      </c>
      <c r="H19" s="30">
        <v>0.16059999999999999</v>
      </c>
      <c r="I19" s="64">
        <f t="shared" si="0"/>
        <v>9812.66</v>
      </c>
    </row>
    <row r="20" spans="2:9" ht="18" customHeight="1" x14ac:dyDescent="0.25">
      <c r="B20" s="27" t="s">
        <v>60</v>
      </c>
      <c r="C20" s="29" t="s">
        <v>72</v>
      </c>
      <c r="D20" s="28" t="s">
        <v>84</v>
      </c>
      <c r="E20" s="29">
        <v>48324</v>
      </c>
      <c r="F20" s="32">
        <v>1956012</v>
      </c>
      <c r="G20" s="31">
        <v>33700</v>
      </c>
      <c r="H20" s="30">
        <v>0.14990000000000001</v>
      </c>
      <c r="I20" s="64">
        <f t="shared" si="0"/>
        <v>5051.63</v>
      </c>
    </row>
    <row r="21" spans="2:9" ht="18" customHeight="1" x14ac:dyDescent="0.25">
      <c r="B21" s="27" t="s">
        <v>61</v>
      </c>
      <c r="C21" s="29" t="s">
        <v>73</v>
      </c>
      <c r="D21" s="28" t="s">
        <v>84</v>
      </c>
      <c r="E21" s="29">
        <v>47815</v>
      </c>
      <c r="F21" s="32">
        <v>1937129</v>
      </c>
      <c r="G21" s="31">
        <v>20000</v>
      </c>
      <c r="H21" s="30">
        <v>0.2276</v>
      </c>
      <c r="I21" s="64">
        <f t="shared" si="0"/>
        <v>4552</v>
      </c>
    </row>
    <row r="22" spans="2:9" ht="18" customHeight="1" x14ac:dyDescent="0.25">
      <c r="B22" s="27" t="s">
        <v>62</v>
      </c>
      <c r="C22" s="29" t="s">
        <v>74</v>
      </c>
      <c r="D22" s="28" t="s">
        <v>84</v>
      </c>
      <c r="E22" s="29">
        <v>47991</v>
      </c>
      <c r="F22" s="32">
        <v>1943246</v>
      </c>
      <c r="G22" s="31">
        <v>20000</v>
      </c>
      <c r="H22" s="30">
        <v>0.16009999999999999</v>
      </c>
      <c r="I22" s="64">
        <f t="shared" si="0"/>
        <v>3202</v>
      </c>
    </row>
    <row r="23" spans="2:9" ht="18" customHeight="1" x14ac:dyDescent="0.25">
      <c r="B23" s="27" t="s">
        <v>62</v>
      </c>
      <c r="C23" s="29" t="s">
        <v>74</v>
      </c>
      <c r="D23" s="28" t="s">
        <v>84</v>
      </c>
      <c r="E23" s="29">
        <v>47992</v>
      </c>
      <c r="F23" s="32">
        <v>1943254</v>
      </c>
      <c r="G23" s="31">
        <v>13700</v>
      </c>
      <c r="H23" s="30">
        <v>0.16009999999999999</v>
      </c>
      <c r="I23" s="64">
        <f t="shared" si="0"/>
        <v>2193.37</v>
      </c>
    </row>
    <row r="24" spans="2:9" ht="18" customHeight="1" x14ac:dyDescent="0.25">
      <c r="B24" s="27" t="s">
        <v>64</v>
      </c>
      <c r="C24" s="29" t="s">
        <v>76</v>
      </c>
      <c r="D24" s="28" t="s">
        <v>84</v>
      </c>
      <c r="E24" s="29">
        <v>48290</v>
      </c>
      <c r="F24" s="32">
        <v>1954834</v>
      </c>
      <c r="G24" s="31">
        <v>11000</v>
      </c>
      <c r="H24" s="30">
        <v>0.20119999999999999</v>
      </c>
      <c r="I24" s="64">
        <f t="shared" si="0"/>
        <v>2213.1999999999998</v>
      </c>
    </row>
    <row r="25" spans="2:9" ht="18" customHeight="1" x14ac:dyDescent="0.25">
      <c r="B25" s="27" t="s">
        <v>65</v>
      </c>
      <c r="C25" s="29" t="s">
        <v>77</v>
      </c>
      <c r="D25" s="28" t="s">
        <v>84</v>
      </c>
      <c r="E25" s="29">
        <v>48512</v>
      </c>
      <c r="F25" s="32">
        <v>1961831</v>
      </c>
      <c r="G25" s="31">
        <v>11000</v>
      </c>
      <c r="H25" s="30">
        <v>0.2223</v>
      </c>
      <c r="I25" s="64">
        <f t="shared" si="0"/>
        <v>2445.3000000000002</v>
      </c>
    </row>
    <row r="26" spans="2:9" ht="18" customHeight="1" x14ac:dyDescent="0.25">
      <c r="B26" s="27" t="s">
        <v>19</v>
      </c>
      <c r="C26" s="29" t="s">
        <v>18</v>
      </c>
      <c r="D26" s="28" t="s">
        <v>84</v>
      </c>
      <c r="E26" s="29">
        <v>47973</v>
      </c>
      <c r="F26" s="32">
        <v>1942551</v>
      </c>
      <c r="G26" s="31">
        <v>9200</v>
      </c>
      <c r="H26" s="30">
        <v>0.16830000000000001</v>
      </c>
      <c r="I26" s="64">
        <f t="shared" si="0"/>
        <v>1548.3600000000001</v>
      </c>
    </row>
    <row r="27" spans="2:9" ht="18" customHeight="1" x14ac:dyDescent="0.25">
      <c r="B27" s="27" t="s">
        <v>63</v>
      </c>
      <c r="C27" s="29" t="s">
        <v>75</v>
      </c>
      <c r="D27" s="28" t="s">
        <v>84</v>
      </c>
      <c r="E27" s="29">
        <v>48090</v>
      </c>
      <c r="F27" s="32">
        <v>1948557</v>
      </c>
      <c r="G27" s="31">
        <v>9000</v>
      </c>
      <c r="H27" s="30">
        <v>0.20119999999999999</v>
      </c>
      <c r="I27" s="64">
        <f t="shared" si="0"/>
        <v>1810.8</v>
      </c>
    </row>
    <row r="28" spans="2:9" ht="18" customHeight="1" x14ac:dyDescent="0.25">
      <c r="B28" s="27" t="s">
        <v>23</v>
      </c>
      <c r="C28" s="29" t="s">
        <v>22</v>
      </c>
      <c r="D28" s="28" t="s">
        <v>83</v>
      </c>
      <c r="E28" s="29">
        <v>48185</v>
      </c>
      <c r="F28" s="32">
        <v>1951001</v>
      </c>
      <c r="G28" s="31">
        <v>5300</v>
      </c>
      <c r="H28" s="30">
        <v>0.13800000000000001</v>
      </c>
      <c r="I28" s="64">
        <f t="shared" si="0"/>
        <v>731.40000000000009</v>
      </c>
    </row>
    <row r="29" spans="2:9" ht="18" customHeight="1" x14ac:dyDescent="0.25">
      <c r="B29" s="27" t="s">
        <v>8</v>
      </c>
      <c r="C29" s="29" t="s">
        <v>7</v>
      </c>
      <c r="D29" s="28" t="s">
        <v>84</v>
      </c>
      <c r="E29" s="13">
        <v>48369</v>
      </c>
      <c r="F29" s="32">
        <v>1957963</v>
      </c>
      <c r="G29" s="33">
        <v>3700</v>
      </c>
      <c r="H29" s="30">
        <v>0.156</v>
      </c>
      <c r="I29" s="64">
        <f t="shared" si="0"/>
        <v>577.20000000000005</v>
      </c>
    </row>
    <row r="30" spans="2:9" ht="18" customHeight="1" x14ac:dyDescent="0.25">
      <c r="B30" s="27" t="s">
        <v>66</v>
      </c>
      <c r="C30" s="29" t="s">
        <v>78</v>
      </c>
      <c r="D30" s="28" t="s">
        <v>84</v>
      </c>
      <c r="E30" s="29">
        <v>48174</v>
      </c>
      <c r="F30" s="32">
        <v>1950833</v>
      </c>
      <c r="G30" s="31">
        <v>2000</v>
      </c>
      <c r="H30" s="30">
        <v>0.15229999999999999</v>
      </c>
      <c r="I30" s="64">
        <f t="shared" si="0"/>
        <v>304.59999999999997</v>
      </c>
    </row>
    <row r="31" spans="2:9" ht="18" customHeight="1" x14ac:dyDescent="0.25">
      <c r="B31" s="27" t="s">
        <v>67</v>
      </c>
      <c r="C31" s="29" t="s">
        <v>79</v>
      </c>
      <c r="D31" s="28" t="s">
        <v>84</v>
      </c>
      <c r="E31" s="13">
        <v>48397</v>
      </c>
      <c r="F31" s="32">
        <v>1958675</v>
      </c>
      <c r="G31" s="33">
        <v>2000</v>
      </c>
      <c r="H31" s="30">
        <v>0.21279999999999999</v>
      </c>
      <c r="I31" s="64">
        <f t="shared" si="0"/>
        <v>425.59999999999997</v>
      </c>
    </row>
    <row r="32" spans="2:9" ht="18" customHeight="1" x14ac:dyDescent="0.25">
      <c r="B32" s="27" t="s">
        <v>68</v>
      </c>
      <c r="C32" s="29" t="s">
        <v>80</v>
      </c>
      <c r="D32" s="28" t="s">
        <v>84</v>
      </c>
      <c r="E32" s="13">
        <v>48371</v>
      </c>
      <c r="F32" s="27">
        <v>1957980</v>
      </c>
      <c r="G32" s="26">
        <v>1000</v>
      </c>
      <c r="H32" s="22">
        <v>0.25519999999999998</v>
      </c>
      <c r="I32" s="64">
        <f t="shared" si="0"/>
        <v>255.2</v>
      </c>
    </row>
    <row r="33" spans="2:9" ht="18" customHeight="1" x14ac:dyDescent="0.25">
      <c r="B33" s="27" t="s">
        <v>69</v>
      </c>
      <c r="C33" s="29" t="s">
        <v>81</v>
      </c>
      <c r="D33" s="28" t="s">
        <v>84</v>
      </c>
      <c r="E33" s="29">
        <v>48474</v>
      </c>
      <c r="F33" s="32">
        <v>1961006</v>
      </c>
      <c r="G33" s="31">
        <v>1000</v>
      </c>
      <c r="H33" s="30">
        <v>0.1502</v>
      </c>
      <c r="I33" s="64">
        <f t="shared" si="0"/>
        <v>150.19999999999999</v>
      </c>
    </row>
    <row r="34" spans="2:9" ht="19.5" customHeight="1" thickBot="1" x14ac:dyDescent="0.3">
      <c r="B34" s="62" t="s">
        <v>70</v>
      </c>
      <c r="C34" s="25" t="s">
        <v>82</v>
      </c>
      <c r="D34" s="24" t="s">
        <v>84</v>
      </c>
      <c r="E34" s="25">
        <v>48456</v>
      </c>
      <c r="F34" s="24">
        <v>1960513</v>
      </c>
      <c r="G34" s="23">
        <v>1000</v>
      </c>
      <c r="H34" s="30">
        <v>0.25990000000000002</v>
      </c>
      <c r="I34" s="64">
        <f t="shared" si="0"/>
        <v>259.90000000000003</v>
      </c>
    </row>
    <row r="35" spans="2:9" ht="15.75" x14ac:dyDescent="0.25">
      <c r="B35" s="21" t="s">
        <v>3</v>
      </c>
      <c r="C35" s="20"/>
      <c r="D35" s="15"/>
      <c r="E35" s="20"/>
      <c r="F35" s="20"/>
      <c r="G35" s="19"/>
      <c r="H35" s="18">
        <v>800</v>
      </c>
      <c r="I35" s="17">
        <v>800</v>
      </c>
    </row>
    <row r="36" spans="2:9" ht="15.75" x14ac:dyDescent="0.25">
      <c r="B36" s="16" t="s">
        <v>2</v>
      </c>
      <c r="C36" s="15"/>
      <c r="D36" s="15"/>
      <c r="E36" s="15"/>
      <c r="F36" s="15"/>
      <c r="G36" s="14"/>
      <c r="H36" s="13">
        <v>250</v>
      </c>
      <c r="I36" s="12">
        <v>250</v>
      </c>
    </row>
    <row r="37" spans="2:9" ht="16.5" thickBot="1" x14ac:dyDescent="0.3">
      <c r="B37" s="11" t="s">
        <v>1</v>
      </c>
      <c r="C37" s="10"/>
      <c r="D37" s="10"/>
      <c r="E37" s="10"/>
      <c r="F37" s="10"/>
      <c r="G37" s="9"/>
      <c r="H37" s="8">
        <v>450</v>
      </c>
      <c r="I37" s="7">
        <v>450</v>
      </c>
    </row>
    <row r="38" spans="2:9" ht="15.75" thickBot="1" x14ac:dyDescent="0.3">
      <c r="B38" s="164" t="s">
        <v>0</v>
      </c>
      <c r="C38" s="165"/>
      <c r="D38" s="165"/>
      <c r="E38" s="165"/>
      <c r="F38" s="165"/>
      <c r="G38" s="165"/>
      <c r="H38" s="165"/>
      <c r="I38" s="166"/>
    </row>
    <row r="39" spans="2:9" ht="29.25" thickBot="1" x14ac:dyDescent="0.5">
      <c r="B39" s="146"/>
      <c r="C39" s="147"/>
      <c r="D39" s="147"/>
      <c r="E39" s="147"/>
      <c r="F39" s="148"/>
      <c r="G39" s="6">
        <f>SUM(G16:G34)</f>
        <v>474800</v>
      </c>
      <c r="H39" s="5"/>
      <c r="I39" s="4">
        <f>SUM(I16:I37)</f>
        <v>72368.31</v>
      </c>
    </row>
    <row r="41" spans="2:9" x14ac:dyDescent="0.2">
      <c r="D41" s="3"/>
      <c r="I41" s="3"/>
    </row>
    <row r="45" spans="2:9" x14ac:dyDescent="0.2">
      <c r="D45" s="2"/>
    </row>
  </sheetData>
  <mergeCells count="7">
    <mergeCell ref="B39:F39"/>
    <mergeCell ref="A1:I1"/>
    <mergeCell ref="A2:B3"/>
    <mergeCell ref="C2:G3"/>
    <mergeCell ref="B13:C13"/>
    <mergeCell ref="H13:I13"/>
    <mergeCell ref="B38:I38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3A31F-73E6-45EF-9B5F-53DCA35B4984}">
  <sheetPr>
    <pageSetUpPr fitToPage="1"/>
  </sheetPr>
  <dimension ref="A1:J37"/>
  <sheetViews>
    <sheetView topLeftCell="A13" zoomScale="121" zoomScaleNormal="121" workbookViewId="0">
      <selection activeCell="E24" sqref="E24"/>
    </sheetView>
  </sheetViews>
  <sheetFormatPr baseColWidth="10" defaultRowHeight="12.75" x14ac:dyDescent="0.2"/>
  <cols>
    <col min="1" max="1" width="5.5703125" style="1" customWidth="1"/>
    <col min="2" max="2" width="27.140625" style="1" customWidth="1"/>
    <col min="3" max="3" width="19.7109375" style="1" customWidth="1"/>
    <col min="4" max="4" width="16.42578125" style="1" customWidth="1"/>
    <col min="5" max="5" width="13" style="1" customWidth="1"/>
    <col min="6" max="6" width="15.28515625" style="1" customWidth="1"/>
    <col min="7" max="8" width="16" style="1" customWidth="1"/>
    <col min="9" max="9" width="19.28515625" style="1" customWidth="1"/>
    <col min="10" max="16384" width="11.42578125" style="1"/>
  </cols>
  <sheetData>
    <row r="1" spans="1:10" ht="48.75" customHeight="1" thickBot="1" x14ac:dyDescent="0.25">
      <c r="A1" s="149" t="s">
        <v>52</v>
      </c>
      <c r="B1" s="150"/>
      <c r="C1" s="150"/>
      <c r="D1" s="150"/>
      <c r="E1" s="150"/>
      <c r="F1" s="150"/>
      <c r="G1" s="150"/>
      <c r="H1" s="150"/>
      <c r="I1" s="151"/>
    </row>
    <row r="2" spans="1:10" ht="39.75" customHeight="1" thickBot="1" x14ac:dyDescent="0.25">
      <c r="A2" s="152"/>
      <c r="B2" s="153"/>
      <c r="C2" s="156" t="s">
        <v>51</v>
      </c>
      <c r="D2" s="157"/>
      <c r="E2" s="157"/>
      <c r="F2" s="157"/>
      <c r="G2" s="158"/>
      <c r="H2" s="60" t="s">
        <v>50</v>
      </c>
      <c r="I2" s="61" t="s">
        <v>49</v>
      </c>
    </row>
    <row r="3" spans="1:10" ht="41.25" customHeight="1" thickBot="1" x14ac:dyDescent="0.25">
      <c r="A3" s="154"/>
      <c r="B3" s="155"/>
      <c r="C3" s="159"/>
      <c r="D3" s="160"/>
      <c r="E3" s="160"/>
      <c r="F3" s="160"/>
      <c r="G3" s="161"/>
      <c r="H3" s="60" t="s">
        <v>48</v>
      </c>
      <c r="I3" s="59" t="s">
        <v>47</v>
      </c>
    </row>
    <row r="4" spans="1:10" ht="22.5" customHeight="1" x14ac:dyDescent="0.2">
      <c r="A4" s="167" t="s">
        <v>118</v>
      </c>
      <c r="B4" s="167"/>
      <c r="C4" s="167"/>
      <c r="D4" s="167"/>
      <c r="E4" s="167"/>
      <c r="F4" s="167"/>
      <c r="G4" s="167"/>
      <c r="H4" s="167"/>
      <c r="I4" s="167"/>
    </row>
    <row r="5" spans="1:10" ht="15.75" x14ac:dyDescent="0.25">
      <c r="A5" s="41"/>
      <c r="B5" s="53"/>
      <c r="C5" s="53"/>
      <c r="D5" s="53"/>
      <c r="E5" s="53"/>
      <c r="F5" s="53"/>
      <c r="G5" s="41"/>
      <c r="H5" s="52"/>
      <c r="I5" s="41"/>
    </row>
    <row r="6" spans="1:10" ht="16.5" customHeight="1" x14ac:dyDescent="0.3">
      <c r="A6" s="41"/>
      <c r="B6" s="57" t="s">
        <v>46</v>
      </c>
      <c r="C6" s="48"/>
      <c r="D6" s="48"/>
      <c r="E6" s="56"/>
      <c r="F6" s="56"/>
      <c r="G6" s="41"/>
      <c r="H6" s="55" t="s">
        <v>45</v>
      </c>
      <c r="I6" s="41"/>
    </row>
    <row r="7" spans="1:10" ht="15.75" x14ac:dyDescent="0.25">
      <c r="A7" s="54"/>
      <c r="B7" s="53"/>
      <c r="C7" s="53"/>
      <c r="D7" s="48"/>
      <c r="E7" s="53"/>
      <c r="F7" s="48"/>
      <c r="G7" s="41"/>
      <c r="H7" s="52"/>
      <c r="I7" s="41"/>
    </row>
    <row r="8" spans="1:10" ht="20.25" customHeight="1" x14ac:dyDescent="0.3">
      <c r="A8" s="43"/>
      <c r="B8" s="48" t="s">
        <v>44</v>
      </c>
      <c r="C8" s="48"/>
      <c r="D8" s="48"/>
      <c r="E8" s="48" t="s">
        <v>43</v>
      </c>
      <c r="F8" s="48"/>
      <c r="G8" s="41"/>
      <c r="H8" s="51" t="s">
        <v>42</v>
      </c>
      <c r="I8" s="50" t="s">
        <v>55</v>
      </c>
    </row>
    <row r="9" spans="1:10" ht="16.5" customHeight="1" x14ac:dyDescent="0.25">
      <c r="A9" s="49"/>
      <c r="B9" s="48" t="s">
        <v>41</v>
      </c>
      <c r="C9" s="48"/>
      <c r="D9" s="48"/>
      <c r="E9" s="48" t="s">
        <v>40</v>
      </c>
      <c r="F9" s="48"/>
      <c r="G9" s="41"/>
      <c r="H9" s="44" t="s">
        <v>39</v>
      </c>
      <c r="I9" s="41"/>
    </row>
    <row r="10" spans="1:10" ht="16.5" x14ac:dyDescent="0.3">
      <c r="A10" s="43"/>
      <c r="B10" s="48" t="s">
        <v>38</v>
      </c>
      <c r="C10" s="48"/>
      <c r="D10" s="48"/>
      <c r="E10" s="48" t="s">
        <v>37</v>
      </c>
      <c r="F10" s="48"/>
      <c r="G10" s="41"/>
      <c r="H10" s="44"/>
      <c r="I10" s="41"/>
    </row>
    <row r="11" spans="1:10" ht="16.5" x14ac:dyDescent="0.3">
      <c r="A11" s="43"/>
      <c r="B11" s="48" t="s">
        <v>36</v>
      </c>
      <c r="C11" s="48"/>
      <c r="D11" s="48"/>
      <c r="E11" s="48" t="s">
        <v>35</v>
      </c>
      <c r="F11" s="48"/>
      <c r="G11" s="41"/>
      <c r="H11" s="47" t="s">
        <v>34</v>
      </c>
      <c r="I11" s="41"/>
      <c r="J11" s="46"/>
    </row>
    <row r="12" spans="1:10" ht="15.75" x14ac:dyDescent="0.3">
      <c r="A12" s="43"/>
      <c r="B12" s="45"/>
      <c r="C12" s="45"/>
      <c r="D12" s="41"/>
      <c r="E12" s="45"/>
      <c r="F12" s="41" t="s">
        <v>0</v>
      </c>
      <c r="G12" s="41"/>
      <c r="H12" s="44"/>
      <c r="I12" s="41"/>
    </row>
    <row r="13" spans="1:10" ht="30" customHeight="1" x14ac:dyDescent="0.35">
      <c r="A13" s="43"/>
      <c r="B13" s="162" t="s">
        <v>56</v>
      </c>
      <c r="C13" s="162"/>
      <c r="D13" s="42"/>
      <c r="E13" s="41"/>
      <c r="F13" s="41"/>
      <c r="G13" s="41"/>
      <c r="H13" s="163" t="s">
        <v>117</v>
      </c>
      <c r="I13" s="163"/>
    </row>
    <row r="14" spans="1:10" ht="9" customHeight="1" thickBot="1" x14ac:dyDescent="0.35">
      <c r="A14" s="43"/>
      <c r="B14" s="42"/>
      <c r="C14" s="42"/>
      <c r="D14" s="42"/>
      <c r="E14" s="41"/>
      <c r="F14" s="41"/>
      <c r="G14" s="41"/>
      <c r="H14" s="41"/>
      <c r="I14" s="41"/>
    </row>
    <row r="15" spans="1:10" ht="27" customHeight="1" thickBot="1" x14ac:dyDescent="0.25">
      <c r="B15" s="39" t="s">
        <v>33</v>
      </c>
      <c r="C15" s="39" t="s">
        <v>32</v>
      </c>
      <c r="D15" s="38" t="s">
        <v>31</v>
      </c>
      <c r="E15" s="40" t="s">
        <v>30</v>
      </c>
      <c r="F15" s="40" t="s">
        <v>29</v>
      </c>
      <c r="G15" s="40" t="s">
        <v>28</v>
      </c>
      <c r="H15" s="39" t="s">
        <v>27</v>
      </c>
      <c r="I15" s="38" t="s">
        <v>26</v>
      </c>
    </row>
    <row r="16" spans="1:10" ht="18" customHeight="1" x14ac:dyDescent="0.25">
      <c r="B16" s="36" t="s">
        <v>25</v>
      </c>
      <c r="C16" s="37" t="s">
        <v>24</v>
      </c>
      <c r="D16" s="36" t="s">
        <v>15</v>
      </c>
      <c r="E16" s="37">
        <v>48246</v>
      </c>
      <c r="F16" s="36">
        <v>1952450</v>
      </c>
      <c r="G16" s="35">
        <v>68000</v>
      </c>
      <c r="H16" s="34">
        <v>9.1200000000000003E-2</v>
      </c>
      <c r="I16" s="17">
        <f t="shared" ref="I16:I26" si="0">G16*H16</f>
        <v>6201.6</v>
      </c>
    </row>
    <row r="17" spans="2:9" ht="18" customHeight="1" x14ac:dyDescent="0.25">
      <c r="B17" s="27" t="s">
        <v>23</v>
      </c>
      <c r="C17" s="13" t="s">
        <v>22</v>
      </c>
      <c r="D17" s="28" t="s">
        <v>15</v>
      </c>
      <c r="E17" s="13">
        <v>48185</v>
      </c>
      <c r="F17" s="27">
        <v>1951001</v>
      </c>
      <c r="G17" s="26">
        <v>63700</v>
      </c>
      <c r="H17" s="22">
        <v>0.13800000000000001</v>
      </c>
      <c r="I17" s="12">
        <f t="shared" si="0"/>
        <v>8790.6</v>
      </c>
    </row>
    <row r="18" spans="2:9" ht="18" customHeight="1" x14ac:dyDescent="0.25">
      <c r="B18" s="27" t="s">
        <v>21</v>
      </c>
      <c r="C18" s="29" t="s">
        <v>20</v>
      </c>
      <c r="D18" s="28" t="s">
        <v>4</v>
      </c>
      <c r="E18" s="29">
        <v>47349</v>
      </c>
      <c r="F18" s="32">
        <v>1919318</v>
      </c>
      <c r="G18" s="31">
        <v>42000</v>
      </c>
      <c r="H18" s="30">
        <v>0.17480000000000001</v>
      </c>
      <c r="I18" s="12">
        <f t="shared" si="0"/>
        <v>7341.6</v>
      </c>
    </row>
    <row r="19" spans="2:9" ht="18" customHeight="1" x14ac:dyDescent="0.25">
      <c r="B19" s="27" t="s">
        <v>19</v>
      </c>
      <c r="C19" s="29" t="s">
        <v>18</v>
      </c>
      <c r="D19" s="28" t="s">
        <v>4</v>
      </c>
      <c r="E19" s="13">
        <v>47973</v>
      </c>
      <c r="F19" s="32">
        <v>1942551</v>
      </c>
      <c r="G19" s="33">
        <v>32600</v>
      </c>
      <c r="H19" s="30">
        <v>0.16830000000000001</v>
      </c>
      <c r="I19" s="12">
        <f t="shared" si="0"/>
        <v>5486.58</v>
      </c>
    </row>
    <row r="20" spans="2:9" ht="18" customHeight="1" x14ac:dyDescent="0.25">
      <c r="B20" s="27" t="s">
        <v>17</v>
      </c>
      <c r="C20" s="29" t="s">
        <v>16</v>
      </c>
      <c r="D20" s="28" t="s">
        <v>15</v>
      </c>
      <c r="E20" s="29">
        <v>48098</v>
      </c>
      <c r="F20" s="32">
        <v>1948637</v>
      </c>
      <c r="G20" s="31">
        <v>33000</v>
      </c>
      <c r="H20" s="30">
        <v>0.16059999999999999</v>
      </c>
      <c r="I20" s="12">
        <f t="shared" si="0"/>
        <v>5299.8</v>
      </c>
    </row>
    <row r="21" spans="2:9" ht="18" customHeight="1" x14ac:dyDescent="0.25">
      <c r="B21" s="27" t="s">
        <v>14</v>
      </c>
      <c r="C21" s="29" t="s">
        <v>13</v>
      </c>
      <c r="D21" s="28" t="s">
        <v>4</v>
      </c>
      <c r="E21" s="13">
        <v>48399</v>
      </c>
      <c r="F21" s="32">
        <v>1958755</v>
      </c>
      <c r="G21" s="33">
        <v>26800</v>
      </c>
      <c r="H21" s="30">
        <v>0.17519999999999999</v>
      </c>
      <c r="I21" s="12">
        <f t="shared" si="0"/>
        <v>4695.3599999999997</v>
      </c>
    </row>
    <row r="22" spans="2:9" ht="18" customHeight="1" x14ac:dyDescent="0.25">
      <c r="B22" s="27" t="s">
        <v>12</v>
      </c>
      <c r="C22" s="29" t="s">
        <v>11</v>
      </c>
      <c r="D22" s="28" t="s">
        <v>4</v>
      </c>
      <c r="E22" s="13">
        <v>48289</v>
      </c>
      <c r="F22" s="27">
        <v>1954818</v>
      </c>
      <c r="G22" s="26">
        <v>15000</v>
      </c>
      <c r="H22" s="22">
        <v>0.21529999999999999</v>
      </c>
      <c r="I22" s="12">
        <f t="shared" si="0"/>
        <v>3229.5</v>
      </c>
    </row>
    <row r="23" spans="2:9" ht="18" customHeight="1" x14ac:dyDescent="0.25">
      <c r="B23" s="27" t="s">
        <v>10</v>
      </c>
      <c r="C23" s="29" t="s">
        <v>9</v>
      </c>
      <c r="D23" s="28" t="s">
        <v>4</v>
      </c>
      <c r="E23" s="29">
        <v>48179</v>
      </c>
      <c r="F23" s="32">
        <v>1950884</v>
      </c>
      <c r="G23" s="31">
        <v>11000</v>
      </c>
      <c r="H23" s="30">
        <v>0.21529999999999999</v>
      </c>
      <c r="I23" s="12">
        <f t="shared" si="0"/>
        <v>2368.2999999999997</v>
      </c>
    </row>
    <row r="24" spans="2:9" ht="18" customHeight="1" x14ac:dyDescent="0.25">
      <c r="B24" s="27" t="s">
        <v>8</v>
      </c>
      <c r="C24" s="29" t="s">
        <v>7</v>
      </c>
      <c r="D24" s="28" t="s">
        <v>4</v>
      </c>
      <c r="E24" s="13">
        <v>48369</v>
      </c>
      <c r="F24" s="27">
        <v>1957963</v>
      </c>
      <c r="G24" s="26">
        <v>5800</v>
      </c>
      <c r="H24" s="22">
        <v>0.156</v>
      </c>
      <c r="I24" s="12">
        <f t="shared" si="0"/>
        <v>904.8</v>
      </c>
    </row>
    <row r="25" spans="2:9" ht="18" customHeight="1" x14ac:dyDescent="0.25">
      <c r="B25" s="27" t="s">
        <v>54</v>
      </c>
      <c r="C25" s="13" t="s">
        <v>53</v>
      </c>
      <c r="D25" s="28" t="s">
        <v>4</v>
      </c>
      <c r="E25" s="13">
        <v>48396</v>
      </c>
      <c r="F25" s="27">
        <v>1958624</v>
      </c>
      <c r="G25" s="26">
        <v>1200</v>
      </c>
      <c r="H25" s="22">
        <v>0.2041</v>
      </c>
      <c r="I25" s="12">
        <f t="shared" si="0"/>
        <v>244.92000000000002</v>
      </c>
    </row>
    <row r="26" spans="2:9" ht="19.5" customHeight="1" thickBot="1" x14ac:dyDescent="0.3">
      <c r="B26" s="62" t="s">
        <v>6</v>
      </c>
      <c r="C26" s="25" t="s">
        <v>5</v>
      </c>
      <c r="D26" s="24" t="s">
        <v>4</v>
      </c>
      <c r="E26" s="25">
        <v>48045</v>
      </c>
      <c r="F26" s="24">
        <v>1946906</v>
      </c>
      <c r="G26" s="23">
        <v>1000</v>
      </c>
      <c r="H26" s="30">
        <v>0.18160000000000001</v>
      </c>
      <c r="I26" s="63">
        <f t="shared" si="0"/>
        <v>181.60000000000002</v>
      </c>
    </row>
    <row r="27" spans="2:9" ht="15.75" x14ac:dyDescent="0.25">
      <c r="B27" s="21" t="s">
        <v>3</v>
      </c>
      <c r="C27" s="20"/>
      <c r="D27" s="15"/>
      <c r="E27" s="20"/>
      <c r="F27" s="20"/>
      <c r="G27" s="19"/>
      <c r="H27" s="18">
        <v>800</v>
      </c>
      <c r="I27" s="17">
        <v>800</v>
      </c>
    </row>
    <row r="28" spans="2:9" ht="15.75" x14ac:dyDescent="0.25">
      <c r="B28" s="16" t="s">
        <v>2</v>
      </c>
      <c r="C28" s="15"/>
      <c r="D28" s="15"/>
      <c r="E28" s="15"/>
      <c r="F28" s="15"/>
      <c r="G28" s="14"/>
      <c r="H28" s="13">
        <v>250</v>
      </c>
      <c r="I28" s="12">
        <v>250</v>
      </c>
    </row>
    <row r="29" spans="2:9" ht="16.5" thickBot="1" x14ac:dyDescent="0.3">
      <c r="B29" s="11" t="s">
        <v>1</v>
      </c>
      <c r="C29" s="10"/>
      <c r="D29" s="10"/>
      <c r="E29" s="10"/>
      <c r="F29" s="10"/>
      <c r="G29" s="9"/>
      <c r="H29" s="8">
        <v>450</v>
      </c>
      <c r="I29" s="7">
        <v>450</v>
      </c>
    </row>
    <row r="30" spans="2:9" ht="15.75" thickBot="1" x14ac:dyDescent="0.3">
      <c r="B30" s="164" t="s">
        <v>0</v>
      </c>
      <c r="C30" s="165"/>
      <c r="D30" s="165"/>
      <c r="E30" s="165"/>
      <c r="F30" s="165"/>
      <c r="G30" s="165"/>
      <c r="H30" s="165"/>
      <c r="I30" s="166"/>
    </row>
    <row r="31" spans="2:9" ht="29.25" thickBot="1" x14ac:dyDescent="0.5">
      <c r="B31" s="146"/>
      <c r="C31" s="147"/>
      <c r="D31" s="147"/>
      <c r="E31" s="147"/>
      <c r="F31" s="148"/>
      <c r="G31" s="6">
        <f>SUM(G16:G26)</f>
        <v>300100</v>
      </c>
      <c r="H31" s="5"/>
      <c r="I31" s="4">
        <f>SUM(I16:I29)</f>
        <v>46244.660000000011</v>
      </c>
    </row>
    <row r="33" spans="4:9" x14ac:dyDescent="0.2">
      <c r="D33" s="3"/>
      <c r="I33" s="3"/>
    </row>
    <row r="37" spans="4:9" x14ac:dyDescent="0.2">
      <c r="D37" s="2"/>
    </row>
  </sheetData>
  <mergeCells count="8">
    <mergeCell ref="B31:F31"/>
    <mergeCell ref="A1:I1"/>
    <mergeCell ref="A2:B3"/>
    <mergeCell ref="C2:G3"/>
    <mergeCell ref="B13:C13"/>
    <mergeCell ref="H13:I13"/>
    <mergeCell ref="B30:I30"/>
    <mergeCell ref="A4:I4"/>
  </mergeCells>
  <printOptions horizontalCentered="1"/>
  <pageMargins left="0.11811023622047245" right="0.11811023622047245" top="0.31496062992125984" bottom="0.19685039370078741" header="0.31496062992125984" footer="0.9055118110236221"/>
  <pageSetup scale="70" orientation="portrait" r:id="rId1"/>
  <headerFooter alignWithMargins="0">
    <oddFooter>&amp;L&amp;16&amp;N de &amp;N&amp;R&amp;16FPL-12  Rev 01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05-28-2025</vt:lpstr>
      <vt:lpstr>05-21-2025</vt:lpstr>
      <vt:lpstr>05-14-2025</vt:lpstr>
      <vt:lpstr>05-07-2025</vt:lpstr>
      <vt:lpstr>04-30-2025</vt:lpstr>
      <vt:lpstr>04-23-2025</vt:lpstr>
      <vt:lpstr>04-15-2025</vt:lpstr>
      <vt:lpstr>04-09-2025</vt:lpstr>
      <vt:lpstr>04-01-2025</vt:lpstr>
      <vt:lpstr>Solvents 03-26-2025</vt:lpstr>
      <vt:lpstr>03-26-2025</vt:lpstr>
      <vt:lpstr>03-19-2025</vt:lpstr>
      <vt:lpstr>03-12-2025</vt:lpstr>
      <vt:lpstr>03-05-2025</vt:lpstr>
      <vt:lpstr>02-26-2025</vt:lpstr>
      <vt:lpstr>02-19-2025</vt:lpstr>
      <vt:lpstr>02-12-2025</vt:lpstr>
      <vt:lpstr>02-05-2025</vt:lpstr>
      <vt:lpstr>01-29-2025</vt:lpstr>
      <vt:lpstr>01-22-2025</vt:lpstr>
      <vt:lpstr>01-15-2025</vt:lpstr>
      <vt:lpstr>01-08-2025</vt:lpstr>
      <vt:lpstr>'01-08-2025'!Área_de_impresión</vt:lpstr>
      <vt:lpstr>'01-15-2025'!Área_de_impresión</vt:lpstr>
      <vt:lpstr>'01-22-2025'!Área_de_impresión</vt:lpstr>
      <vt:lpstr>'01-29-2025'!Área_de_impresión</vt:lpstr>
      <vt:lpstr>'02-05-2025'!Área_de_impresión</vt:lpstr>
      <vt:lpstr>'02-12-2025'!Área_de_impresión</vt:lpstr>
      <vt:lpstr>'02-19-2025'!Área_de_impresión</vt:lpstr>
      <vt:lpstr>'02-26-2025'!Área_de_impresión</vt:lpstr>
      <vt:lpstr>'03-05-2025'!Área_de_impresión</vt:lpstr>
      <vt:lpstr>'03-12-2025'!Área_de_impresión</vt:lpstr>
      <vt:lpstr>'03-19-2025'!Área_de_impresión</vt:lpstr>
      <vt:lpstr>'03-26-2025'!Área_de_impresión</vt:lpstr>
      <vt:lpstr>'04-01-2025'!Área_de_impresión</vt:lpstr>
      <vt:lpstr>'04-09-2025'!Área_de_impresión</vt:lpstr>
      <vt:lpstr>'04-15-2025'!Área_de_impresión</vt:lpstr>
      <vt:lpstr>'04-23-2025'!Área_de_impresión</vt:lpstr>
      <vt:lpstr>'04-30-2025'!Área_de_impresión</vt:lpstr>
      <vt:lpstr>'05-07-2025'!Área_de_impresión</vt:lpstr>
      <vt:lpstr>'05-14-2025'!Área_de_impresión</vt:lpstr>
      <vt:lpstr>'05-21-2025'!Área_de_impresión</vt:lpstr>
      <vt:lpstr>'05-28-2025'!Área_de_impresión</vt:lpstr>
      <vt:lpstr>'Solvents 03-26-2025'!Área_de_impresión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Jiménez</dc:creator>
  <cp:lastModifiedBy>Jonathan Jiménez</cp:lastModifiedBy>
  <cp:lastPrinted>2025-05-22T16:57:44Z</cp:lastPrinted>
  <dcterms:created xsi:type="dcterms:W3CDTF">2025-01-02T16:38:46Z</dcterms:created>
  <dcterms:modified xsi:type="dcterms:W3CDTF">2025-05-22T20:42:13Z</dcterms:modified>
</cp:coreProperties>
</file>